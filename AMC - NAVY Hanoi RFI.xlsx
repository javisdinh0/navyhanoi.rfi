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filterPrivacy="1"/>
  <xr:revisionPtr revIDLastSave="0" documentId="13_ncr:1_{ABD6AB70-8C4B-4301-A360-DD5F840C0660}" xr6:coauthVersionLast="36" xr6:coauthVersionMax="47" xr10:uidLastSave="{00000000-0000-0000-0000-000000000000}"/>
  <bookViews>
    <workbookView xWindow="-120" yWindow="-120" windowWidth="29040" windowHeight="15720" firstSheet="5" activeTab="5" xr2:uid="{00000000-000D-0000-FFFF-FFFF00000000}"/>
  </bookViews>
  <sheets>
    <sheet name="KH TKB3_underground" sheetId="10" state="hidden" r:id="rId1"/>
    <sheet name="KHĐC DẦM SÀN REV 02" sheetId="11" state="hidden" r:id="rId2"/>
    <sheet name="KHĐC DẦM SÀN REV03" sheetId="14" state="hidden" r:id="rId3"/>
    <sheet name="KHĐC DẦM SÀN REV03 (2)" sheetId="15" state="hidden" r:id="rId4"/>
    <sheet name="KH- PT BEAM" sheetId="16" state="hidden" r:id="rId5"/>
    <sheet name="RFI" sheetId="19" r:id="rId6"/>
    <sheet name="BV TKTC" sheetId="20" state="hidden" r:id="rId7"/>
    <sheet name="Sheet2" sheetId="18" state="hidden" r:id="rId8"/>
    <sheet name="BẢN CHUYỂN GIAO" sheetId="12" state="hidden" r:id="rId9"/>
    <sheet name="DÁNH GIÁ PHỐI HỢP SDS" sheetId="13" state="hidden" r:id="rId10"/>
  </sheets>
  <externalReferences>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s>
  <definedNames>
    <definedName name="__123Graph_A" localSheetId="8" hidden="1">[1]Earthwork!#REF!</definedName>
    <definedName name="__123Graph_A" localSheetId="0" hidden="1">[1]Earthwork!#REF!</definedName>
    <definedName name="__123Graph_A" localSheetId="1" hidden="1">[1]Earthwork!#REF!</definedName>
    <definedName name="__123Graph_A" localSheetId="2" hidden="1">[1]Earthwork!#REF!</definedName>
    <definedName name="__123Graph_A" localSheetId="3" hidden="1">[1]Earthwork!#REF!</definedName>
    <definedName name="__123Graph_A" hidden="1">[1]Earthwork!#REF!</definedName>
    <definedName name="__123Graph_A120.CGM" localSheetId="8" hidden="1">[1]Earthwork!#REF!</definedName>
    <definedName name="__123Graph_A120.CGM" localSheetId="0" hidden="1">[1]Earthwork!#REF!</definedName>
    <definedName name="__123Graph_A120.CGM" localSheetId="1" hidden="1">[1]Earthwork!#REF!</definedName>
    <definedName name="__123Graph_A120.CGM" localSheetId="2" hidden="1">[1]Earthwork!#REF!</definedName>
    <definedName name="__123Graph_A120.CGM" localSheetId="3" hidden="1">[1]Earthwork!#REF!</definedName>
    <definedName name="__123Graph_A120.CGM" hidden="1">[1]Earthwork!#REF!</definedName>
    <definedName name="__123Graph_A150.CGM" localSheetId="8" hidden="1">[1]Earthwork!#REF!</definedName>
    <definedName name="__123Graph_A150.CGM" localSheetId="0" hidden="1">[1]Earthwork!#REF!</definedName>
    <definedName name="__123Graph_A150.CGM" localSheetId="1" hidden="1">[1]Earthwork!#REF!</definedName>
    <definedName name="__123Graph_A150.CGM" localSheetId="2" hidden="1">[1]Earthwork!#REF!</definedName>
    <definedName name="__123Graph_A150.CGM" localSheetId="3" hidden="1">[1]Earthwork!#REF!</definedName>
    <definedName name="__123Graph_A150.CGM" hidden="1">[1]Earthwork!#REF!</definedName>
    <definedName name="__123Graph_A180.CGM" localSheetId="8" hidden="1">[1]Earthwork!#REF!</definedName>
    <definedName name="__123Graph_A180.CGM" localSheetId="0" hidden="1">[1]Earthwork!#REF!</definedName>
    <definedName name="__123Graph_A180.CGM" localSheetId="1" hidden="1">[1]Earthwork!#REF!</definedName>
    <definedName name="__123Graph_A180.CGM" localSheetId="2" hidden="1">[1]Earthwork!#REF!</definedName>
    <definedName name="__123Graph_A180.CGM" localSheetId="3" hidden="1">[1]Earthwork!#REF!</definedName>
    <definedName name="__123Graph_A180.CGM" hidden="1">[1]Earthwork!#REF!</definedName>
    <definedName name="__123Graph_A210.CGM" localSheetId="8" hidden="1">[1]Earthwork!#REF!</definedName>
    <definedName name="__123Graph_A210.CGM" localSheetId="0" hidden="1">[1]Earthwork!#REF!</definedName>
    <definedName name="__123Graph_A210.CGM" localSheetId="1" hidden="1">[1]Earthwork!#REF!</definedName>
    <definedName name="__123Graph_A210.CGM" localSheetId="2" hidden="1">[1]Earthwork!#REF!</definedName>
    <definedName name="__123Graph_A210.CGM" localSheetId="3" hidden="1">[1]Earthwork!#REF!</definedName>
    <definedName name="__123Graph_A210.CGM" hidden="1">[1]Earthwork!#REF!</definedName>
    <definedName name="__123Graph_A240.CGM" localSheetId="8" hidden="1">[1]Earthwork!#REF!</definedName>
    <definedName name="__123Graph_A240.CGM" localSheetId="0" hidden="1">[1]Earthwork!#REF!</definedName>
    <definedName name="__123Graph_A240.CGM" localSheetId="1" hidden="1">[1]Earthwork!#REF!</definedName>
    <definedName name="__123Graph_A240.CGM" localSheetId="2" hidden="1">[1]Earthwork!#REF!</definedName>
    <definedName name="__123Graph_A240.CGM" localSheetId="3" hidden="1">[1]Earthwork!#REF!</definedName>
    <definedName name="__123Graph_A240.CGM" hidden="1">[1]Earthwork!#REF!</definedName>
    <definedName name="__123Graph_A270.CGM" localSheetId="8" hidden="1">[1]Earthwork!#REF!</definedName>
    <definedName name="__123Graph_A270.CGM" localSheetId="0" hidden="1">[1]Earthwork!#REF!</definedName>
    <definedName name="__123Graph_A270.CGM" localSheetId="1" hidden="1">[1]Earthwork!#REF!</definedName>
    <definedName name="__123Graph_A270.CGM" localSheetId="2" hidden="1">[1]Earthwork!#REF!</definedName>
    <definedName name="__123Graph_A270.CGM" localSheetId="3" hidden="1">[1]Earthwork!#REF!</definedName>
    <definedName name="__123Graph_A270.CGM" hidden="1">[1]Earthwork!#REF!</definedName>
    <definedName name="__123Graph_A300.CGM" localSheetId="8" hidden="1">[1]Earthwork!#REF!</definedName>
    <definedName name="__123Graph_A300.CGM" localSheetId="0" hidden="1">[1]Earthwork!#REF!</definedName>
    <definedName name="__123Graph_A300.CGM" localSheetId="1" hidden="1">[1]Earthwork!#REF!</definedName>
    <definedName name="__123Graph_A300.CGM" localSheetId="2" hidden="1">[1]Earthwork!#REF!</definedName>
    <definedName name="__123Graph_A300.CGM" localSheetId="3" hidden="1">[1]Earthwork!#REF!</definedName>
    <definedName name="__123Graph_A300.CGM" hidden="1">[1]Earthwork!#REF!</definedName>
    <definedName name="__123Graph_A60.CGN" localSheetId="8" hidden="1">[1]Earthwork!#REF!</definedName>
    <definedName name="__123Graph_A60.CGN" localSheetId="0" hidden="1">[1]Earthwork!#REF!</definedName>
    <definedName name="__123Graph_A60.CGN" localSheetId="1" hidden="1">[1]Earthwork!#REF!</definedName>
    <definedName name="__123Graph_A60.CGN" localSheetId="2" hidden="1">[1]Earthwork!#REF!</definedName>
    <definedName name="__123Graph_A60.CGN" localSheetId="3" hidden="1">[1]Earthwork!#REF!</definedName>
    <definedName name="__123Graph_A60.CGN" hidden="1">[1]Earthwork!#REF!</definedName>
    <definedName name="__123Graph_A90.CGM" localSheetId="8" hidden="1">[1]Earthwork!#REF!</definedName>
    <definedName name="__123Graph_A90.CGM" localSheetId="0" hidden="1">[1]Earthwork!#REF!</definedName>
    <definedName name="__123Graph_A90.CGM" localSheetId="1" hidden="1">[1]Earthwork!#REF!</definedName>
    <definedName name="__123Graph_A90.CGM" localSheetId="2" hidden="1">[1]Earthwork!#REF!</definedName>
    <definedName name="__123Graph_A90.CGM" localSheetId="3" hidden="1">[1]Earthwork!#REF!</definedName>
    <definedName name="__123Graph_A90.CGM" hidden="1">[1]Earthwork!#REF!</definedName>
    <definedName name="__123Graph_B" localSheetId="8" hidden="1">[2]tifico!#REF!</definedName>
    <definedName name="__123Graph_B" localSheetId="0" hidden="1">[2]tifico!#REF!</definedName>
    <definedName name="__123Graph_B" localSheetId="1" hidden="1">[2]tifico!#REF!</definedName>
    <definedName name="__123Graph_B" localSheetId="2" hidden="1">[2]tifico!#REF!</definedName>
    <definedName name="__123Graph_B" localSheetId="3" hidden="1">[2]tifico!#REF!</definedName>
    <definedName name="__123Graph_B" hidden="1">[2]tifico!#REF!</definedName>
    <definedName name="__123Graph_B120.CGM" localSheetId="8" hidden="1">[1]Earthwork!#REF!</definedName>
    <definedName name="__123Graph_B120.CGM" localSheetId="0" hidden="1">[1]Earthwork!#REF!</definedName>
    <definedName name="__123Graph_B120.CGM" localSheetId="1" hidden="1">[1]Earthwork!#REF!</definedName>
    <definedName name="__123Graph_B120.CGM" localSheetId="2" hidden="1">[1]Earthwork!#REF!</definedName>
    <definedName name="__123Graph_B120.CGM" localSheetId="3" hidden="1">[1]Earthwork!#REF!</definedName>
    <definedName name="__123Graph_B120.CGM" hidden="1">[1]Earthwork!#REF!</definedName>
    <definedName name="__123Graph_B150.CGM" localSheetId="8" hidden="1">[1]Earthwork!#REF!</definedName>
    <definedName name="__123Graph_B150.CGM" localSheetId="0" hidden="1">[1]Earthwork!#REF!</definedName>
    <definedName name="__123Graph_B150.CGM" localSheetId="1" hidden="1">[1]Earthwork!#REF!</definedName>
    <definedName name="__123Graph_B150.CGM" localSheetId="2" hidden="1">[1]Earthwork!#REF!</definedName>
    <definedName name="__123Graph_B150.CGM" localSheetId="3" hidden="1">[1]Earthwork!#REF!</definedName>
    <definedName name="__123Graph_B150.CGM" hidden="1">[1]Earthwork!#REF!</definedName>
    <definedName name="__123Graph_B180.CGM" localSheetId="8" hidden="1">[1]Earthwork!#REF!</definedName>
    <definedName name="__123Graph_B180.CGM" localSheetId="0" hidden="1">[1]Earthwork!#REF!</definedName>
    <definedName name="__123Graph_B180.CGM" localSheetId="1" hidden="1">[1]Earthwork!#REF!</definedName>
    <definedName name="__123Graph_B180.CGM" localSheetId="2" hidden="1">[1]Earthwork!#REF!</definedName>
    <definedName name="__123Graph_B180.CGM" localSheetId="3" hidden="1">[1]Earthwork!#REF!</definedName>
    <definedName name="__123Graph_B180.CGM" hidden="1">[1]Earthwork!#REF!</definedName>
    <definedName name="__123Graph_B210.CGM" localSheetId="8" hidden="1">[1]Earthwork!#REF!</definedName>
    <definedName name="__123Graph_B210.CGM" localSheetId="0" hidden="1">[1]Earthwork!#REF!</definedName>
    <definedName name="__123Graph_B210.CGM" localSheetId="1" hidden="1">[1]Earthwork!#REF!</definedName>
    <definedName name="__123Graph_B210.CGM" localSheetId="2" hidden="1">[1]Earthwork!#REF!</definedName>
    <definedName name="__123Graph_B210.CGM" localSheetId="3" hidden="1">[1]Earthwork!#REF!</definedName>
    <definedName name="__123Graph_B210.CGM" hidden="1">[1]Earthwork!#REF!</definedName>
    <definedName name="__123Graph_B240.CGM" localSheetId="8" hidden="1">[1]Earthwork!#REF!</definedName>
    <definedName name="__123Graph_B240.CGM" localSheetId="0" hidden="1">[1]Earthwork!#REF!</definedName>
    <definedName name="__123Graph_B240.CGM" localSheetId="1" hidden="1">[1]Earthwork!#REF!</definedName>
    <definedName name="__123Graph_B240.CGM" localSheetId="2" hidden="1">[1]Earthwork!#REF!</definedName>
    <definedName name="__123Graph_B240.CGM" localSheetId="3" hidden="1">[1]Earthwork!#REF!</definedName>
    <definedName name="__123Graph_B240.CGM" hidden="1">[1]Earthwork!#REF!</definedName>
    <definedName name="__123Graph_B270.CGM" localSheetId="8" hidden="1">[1]Earthwork!#REF!</definedName>
    <definedName name="__123Graph_B270.CGM" localSheetId="0" hidden="1">[1]Earthwork!#REF!</definedName>
    <definedName name="__123Graph_B270.CGM" localSheetId="1" hidden="1">[1]Earthwork!#REF!</definedName>
    <definedName name="__123Graph_B270.CGM" localSheetId="2" hidden="1">[1]Earthwork!#REF!</definedName>
    <definedName name="__123Graph_B270.CGM" localSheetId="3" hidden="1">[1]Earthwork!#REF!</definedName>
    <definedName name="__123Graph_B270.CGM" hidden="1">[1]Earthwork!#REF!</definedName>
    <definedName name="__123Graph_B300.CGM" localSheetId="8" hidden="1">[1]Earthwork!#REF!</definedName>
    <definedName name="__123Graph_B300.CGM" localSheetId="0" hidden="1">[1]Earthwork!#REF!</definedName>
    <definedName name="__123Graph_B300.CGM" localSheetId="1" hidden="1">[1]Earthwork!#REF!</definedName>
    <definedName name="__123Graph_B300.CGM" localSheetId="2" hidden="1">[1]Earthwork!#REF!</definedName>
    <definedName name="__123Graph_B300.CGM" localSheetId="3" hidden="1">[1]Earthwork!#REF!</definedName>
    <definedName name="__123Graph_B300.CGM" hidden="1">[1]Earthwork!#REF!</definedName>
    <definedName name="__123Graph_B60.CGN" localSheetId="8" hidden="1">[1]Earthwork!#REF!</definedName>
    <definedName name="__123Graph_B60.CGN" localSheetId="0" hidden="1">[1]Earthwork!#REF!</definedName>
    <definedName name="__123Graph_B60.CGN" localSheetId="1" hidden="1">[1]Earthwork!#REF!</definedName>
    <definedName name="__123Graph_B60.CGN" localSheetId="2" hidden="1">[1]Earthwork!#REF!</definedName>
    <definedName name="__123Graph_B60.CGN" localSheetId="3" hidden="1">[1]Earthwork!#REF!</definedName>
    <definedName name="__123Graph_B60.CGN" hidden="1">[1]Earthwork!#REF!</definedName>
    <definedName name="__123Graph_B90.CGM" localSheetId="8" hidden="1">[1]Earthwork!#REF!</definedName>
    <definedName name="__123Graph_B90.CGM" localSheetId="0" hidden="1">[1]Earthwork!#REF!</definedName>
    <definedName name="__123Graph_B90.CGM" localSheetId="1" hidden="1">[1]Earthwork!#REF!</definedName>
    <definedName name="__123Graph_B90.CGM" localSheetId="2" hidden="1">[1]Earthwork!#REF!</definedName>
    <definedName name="__123Graph_B90.CGM" localSheetId="3" hidden="1">[1]Earthwork!#REF!</definedName>
    <definedName name="__123Graph_B90.CGM" hidden="1">[1]Earthwork!#REF!</definedName>
    <definedName name="__123Graph_C" localSheetId="8" hidden="1">[2]tifico!#REF!</definedName>
    <definedName name="__123Graph_C" localSheetId="0" hidden="1">[2]tifico!#REF!</definedName>
    <definedName name="__123Graph_C" localSheetId="1" hidden="1">[2]tifico!#REF!</definedName>
    <definedName name="__123Graph_C" localSheetId="2" hidden="1">[2]tifico!#REF!</definedName>
    <definedName name="__123Graph_C" localSheetId="3" hidden="1">[2]tifico!#REF!</definedName>
    <definedName name="__123Graph_C" hidden="1">[2]tifico!#REF!</definedName>
    <definedName name="__123Graph_D" hidden="1">[3]SEX!$P$7:$P$7</definedName>
    <definedName name="__123Graph_E" localSheetId="8" hidden="1">[2]tifico!#REF!</definedName>
    <definedName name="__123Graph_E" localSheetId="0" hidden="1">[2]tifico!#REF!</definedName>
    <definedName name="__123Graph_E" localSheetId="1" hidden="1">[2]tifico!#REF!</definedName>
    <definedName name="__123Graph_E" localSheetId="2" hidden="1">[2]tifico!#REF!</definedName>
    <definedName name="__123Graph_E" localSheetId="3" hidden="1">[2]tifico!#REF!</definedName>
    <definedName name="__123Graph_E" hidden="1">[2]tifico!#REF!</definedName>
    <definedName name="__123Graph_F" localSheetId="8" hidden="1">[4]ESCON!#REF!</definedName>
    <definedName name="__123Graph_F" localSheetId="0" hidden="1">[4]ESCON!#REF!</definedName>
    <definedName name="__123Graph_F" localSheetId="1" hidden="1">[4]ESCON!#REF!</definedName>
    <definedName name="__123Graph_F" localSheetId="2" hidden="1">[4]ESCON!#REF!</definedName>
    <definedName name="__123Graph_F" localSheetId="3" hidden="1">[4]ESCON!#REF!</definedName>
    <definedName name="__123Graph_F" hidden="1">[4]ESCON!#REF!</definedName>
    <definedName name="__123Graph_LBL_A" localSheetId="8" hidden="1">[1]Earthwork!#REF!</definedName>
    <definedName name="__123Graph_LBL_A" localSheetId="0" hidden="1">[1]Earthwork!#REF!</definedName>
    <definedName name="__123Graph_LBL_A" localSheetId="1" hidden="1">[1]Earthwork!#REF!</definedName>
    <definedName name="__123Graph_LBL_A" localSheetId="2" hidden="1">[1]Earthwork!#REF!</definedName>
    <definedName name="__123Graph_LBL_A" localSheetId="3" hidden="1">[1]Earthwork!#REF!</definedName>
    <definedName name="__123Graph_LBL_A" hidden="1">[1]Earthwork!#REF!</definedName>
    <definedName name="__123Graph_LBL_A120.CGM" localSheetId="8" hidden="1">[1]Earthwork!#REF!</definedName>
    <definedName name="__123Graph_LBL_A120.CGM" localSheetId="0" hidden="1">[1]Earthwork!#REF!</definedName>
    <definedName name="__123Graph_LBL_A120.CGM" localSheetId="1" hidden="1">[1]Earthwork!#REF!</definedName>
    <definedName name="__123Graph_LBL_A120.CGM" localSheetId="2" hidden="1">[1]Earthwork!#REF!</definedName>
    <definedName name="__123Graph_LBL_A120.CGM" localSheetId="3" hidden="1">[1]Earthwork!#REF!</definedName>
    <definedName name="__123Graph_LBL_A120.CGM" hidden="1">[1]Earthwork!#REF!</definedName>
    <definedName name="__123Graph_LBL_A150.CGM" localSheetId="8" hidden="1">[1]Earthwork!#REF!</definedName>
    <definedName name="__123Graph_LBL_A150.CGM" localSheetId="0" hidden="1">[1]Earthwork!#REF!</definedName>
    <definedName name="__123Graph_LBL_A150.CGM" localSheetId="1" hidden="1">[1]Earthwork!#REF!</definedName>
    <definedName name="__123Graph_LBL_A150.CGM" localSheetId="2" hidden="1">[1]Earthwork!#REF!</definedName>
    <definedName name="__123Graph_LBL_A150.CGM" localSheetId="3" hidden="1">[1]Earthwork!#REF!</definedName>
    <definedName name="__123Graph_LBL_A150.CGM" hidden="1">[1]Earthwork!#REF!</definedName>
    <definedName name="__123Graph_LBL_A180.CGM" localSheetId="8" hidden="1">[1]Earthwork!#REF!</definedName>
    <definedName name="__123Graph_LBL_A180.CGM" localSheetId="0" hidden="1">[1]Earthwork!#REF!</definedName>
    <definedName name="__123Graph_LBL_A180.CGM" localSheetId="1" hidden="1">[1]Earthwork!#REF!</definedName>
    <definedName name="__123Graph_LBL_A180.CGM" localSheetId="2" hidden="1">[1]Earthwork!#REF!</definedName>
    <definedName name="__123Graph_LBL_A180.CGM" localSheetId="3" hidden="1">[1]Earthwork!#REF!</definedName>
    <definedName name="__123Graph_LBL_A180.CGM" hidden="1">[1]Earthwork!#REF!</definedName>
    <definedName name="__123Graph_LBL_A210.CGM" localSheetId="8" hidden="1">[1]Earthwork!#REF!</definedName>
    <definedName name="__123Graph_LBL_A210.CGM" localSheetId="0" hidden="1">[1]Earthwork!#REF!</definedName>
    <definedName name="__123Graph_LBL_A210.CGM" localSheetId="1" hidden="1">[1]Earthwork!#REF!</definedName>
    <definedName name="__123Graph_LBL_A210.CGM" localSheetId="2" hidden="1">[1]Earthwork!#REF!</definedName>
    <definedName name="__123Graph_LBL_A210.CGM" localSheetId="3" hidden="1">[1]Earthwork!#REF!</definedName>
    <definedName name="__123Graph_LBL_A210.CGM" hidden="1">[1]Earthwork!#REF!</definedName>
    <definedName name="__123Graph_LBL_A240.CGM" localSheetId="8" hidden="1">[1]Earthwork!#REF!</definedName>
    <definedName name="__123Graph_LBL_A240.CGM" localSheetId="0" hidden="1">[1]Earthwork!#REF!</definedName>
    <definedName name="__123Graph_LBL_A240.CGM" localSheetId="1" hidden="1">[1]Earthwork!#REF!</definedName>
    <definedName name="__123Graph_LBL_A240.CGM" localSheetId="2" hidden="1">[1]Earthwork!#REF!</definedName>
    <definedName name="__123Graph_LBL_A240.CGM" localSheetId="3" hidden="1">[1]Earthwork!#REF!</definedName>
    <definedName name="__123Graph_LBL_A240.CGM" hidden="1">[1]Earthwork!#REF!</definedName>
    <definedName name="__123Graph_LBL_A270.CGM" localSheetId="8" hidden="1">[1]Earthwork!#REF!</definedName>
    <definedName name="__123Graph_LBL_A270.CGM" localSheetId="0" hidden="1">[1]Earthwork!#REF!</definedName>
    <definedName name="__123Graph_LBL_A270.CGM" localSheetId="1" hidden="1">[1]Earthwork!#REF!</definedName>
    <definedName name="__123Graph_LBL_A270.CGM" localSheetId="2" hidden="1">[1]Earthwork!#REF!</definedName>
    <definedName name="__123Graph_LBL_A270.CGM" localSheetId="3" hidden="1">[1]Earthwork!#REF!</definedName>
    <definedName name="__123Graph_LBL_A270.CGM" hidden="1">[1]Earthwork!#REF!</definedName>
    <definedName name="__123Graph_LBL_A300.CGM" localSheetId="8" hidden="1">[1]Earthwork!#REF!</definedName>
    <definedName name="__123Graph_LBL_A300.CGM" localSheetId="0" hidden="1">[1]Earthwork!#REF!</definedName>
    <definedName name="__123Graph_LBL_A300.CGM" localSheetId="1" hidden="1">[1]Earthwork!#REF!</definedName>
    <definedName name="__123Graph_LBL_A300.CGM" localSheetId="2" hidden="1">[1]Earthwork!#REF!</definedName>
    <definedName name="__123Graph_LBL_A300.CGM" localSheetId="3" hidden="1">[1]Earthwork!#REF!</definedName>
    <definedName name="__123Graph_LBL_A300.CGM" hidden="1">[1]Earthwork!#REF!</definedName>
    <definedName name="__123Graph_LBL_A60.CGN" localSheetId="8" hidden="1">[1]Earthwork!#REF!</definedName>
    <definedName name="__123Graph_LBL_A60.CGN" localSheetId="0" hidden="1">[1]Earthwork!#REF!</definedName>
    <definedName name="__123Graph_LBL_A60.CGN" localSheetId="1" hidden="1">[1]Earthwork!#REF!</definedName>
    <definedName name="__123Graph_LBL_A60.CGN" localSheetId="2" hidden="1">[1]Earthwork!#REF!</definedName>
    <definedName name="__123Graph_LBL_A60.CGN" localSheetId="3" hidden="1">[1]Earthwork!#REF!</definedName>
    <definedName name="__123Graph_LBL_A60.CGN" hidden="1">[1]Earthwork!#REF!</definedName>
    <definedName name="__123Graph_LBL_A90.CGM" localSheetId="8" hidden="1">[1]Earthwork!#REF!</definedName>
    <definedName name="__123Graph_LBL_A90.CGM" localSheetId="0" hidden="1">[1]Earthwork!#REF!</definedName>
    <definedName name="__123Graph_LBL_A90.CGM" localSheetId="1" hidden="1">[1]Earthwork!#REF!</definedName>
    <definedName name="__123Graph_LBL_A90.CGM" localSheetId="2" hidden="1">[1]Earthwork!#REF!</definedName>
    <definedName name="__123Graph_LBL_A90.CGM" localSheetId="3" hidden="1">[1]Earthwork!#REF!</definedName>
    <definedName name="__123Graph_LBL_A90.CGM" hidden="1">[1]Earthwork!#REF!</definedName>
    <definedName name="__123Graph_X" localSheetId="8" hidden="1">[2]tifico!#REF!</definedName>
    <definedName name="__123Graph_X" localSheetId="0" hidden="1">[2]tifico!#REF!</definedName>
    <definedName name="__123Graph_X" localSheetId="1" hidden="1">[2]tifico!#REF!</definedName>
    <definedName name="__123Graph_X" localSheetId="2" hidden="1">[2]tifico!#REF!</definedName>
    <definedName name="__123Graph_X" localSheetId="3" hidden="1">[2]tifico!#REF!</definedName>
    <definedName name="__123Graph_X" hidden="1">[2]tifico!#REF!</definedName>
    <definedName name="__123Graph_X120.CGM" localSheetId="8" hidden="1">[1]Earthwork!#REF!</definedName>
    <definedName name="__123Graph_X120.CGM" localSheetId="0" hidden="1">[1]Earthwork!#REF!</definedName>
    <definedName name="__123Graph_X120.CGM" localSheetId="1" hidden="1">[1]Earthwork!#REF!</definedName>
    <definedName name="__123Graph_X120.CGM" localSheetId="2" hidden="1">[1]Earthwork!#REF!</definedName>
    <definedName name="__123Graph_X120.CGM" localSheetId="3" hidden="1">[1]Earthwork!#REF!</definedName>
    <definedName name="__123Graph_X120.CGM" hidden="1">[1]Earthwork!#REF!</definedName>
    <definedName name="__123Graph_X150.CGM" localSheetId="8" hidden="1">[1]Earthwork!#REF!</definedName>
    <definedName name="__123Graph_X150.CGM" localSheetId="0" hidden="1">[1]Earthwork!#REF!</definedName>
    <definedName name="__123Graph_X150.CGM" localSheetId="1" hidden="1">[1]Earthwork!#REF!</definedName>
    <definedName name="__123Graph_X150.CGM" localSheetId="2" hidden="1">[1]Earthwork!#REF!</definedName>
    <definedName name="__123Graph_X150.CGM" localSheetId="3" hidden="1">[1]Earthwork!#REF!</definedName>
    <definedName name="__123Graph_X150.CGM" hidden="1">[1]Earthwork!#REF!</definedName>
    <definedName name="__123Graph_X180.CGM" localSheetId="8" hidden="1">[1]Earthwork!#REF!</definedName>
    <definedName name="__123Graph_X180.CGM" localSheetId="0" hidden="1">[1]Earthwork!#REF!</definedName>
    <definedName name="__123Graph_X180.CGM" localSheetId="1" hidden="1">[1]Earthwork!#REF!</definedName>
    <definedName name="__123Graph_X180.CGM" localSheetId="2" hidden="1">[1]Earthwork!#REF!</definedName>
    <definedName name="__123Graph_X180.CGM" localSheetId="3" hidden="1">[1]Earthwork!#REF!</definedName>
    <definedName name="__123Graph_X180.CGM" hidden="1">[1]Earthwork!#REF!</definedName>
    <definedName name="__123Graph_X210.CGM" localSheetId="8" hidden="1">[1]Earthwork!#REF!</definedName>
    <definedName name="__123Graph_X210.CGM" localSheetId="0" hidden="1">[1]Earthwork!#REF!</definedName>
    <definedName name="__123Graph_X210.CGM" localSheetId="1" hidden="1">[1]Earthwork!#REF!</definedName>
    <definedName name="__123Graph_X210.CGM" localSheetId="2" hidden="1">[1]Earthwork!#REF!</definedName>
    <definedName name="__123Graph_X210.CGM" localSheetId="3" hidden="1">[1]Earthwork!#REF!</definedName>
    <definedName name="__123Graph_X210.CGM" hidden="1">[1]Earthwork!#REF!</definedName>
    <definedName name="__123Graph_X240.CGM" localSheetId="8" hidden="1">[1]Earthwork!#REF!</definedName>
    <definedName name="__123Graph_X240.CGM" localSheetId="0" hidden="1">[1]Earthwork!#REF!</definedName>
    <definedName name="__123Graph_X240.CGM" localSheetId="1" hidden="1">[1]Earthwork!#REF!</definedName>
    <definedName name="__123Graph_X240.CGM" localSheetId="2" hidden="1">[1]Earthwork!#REF!</definedName>
    <definedName name="__123Graph_X240.CGM" localSheetId="3" hidden="1">[1]Earthwork!#REF!</definedName>
    <definedName name="__123Graph_X240.CGM" hidden="1">[1]Earthwork!#REF!</definedName>
    <definedName name="__123Graph_X270.CGM" localSheetId="8" hidden="1">[1]Earthwork!#REF!</definedName>
    <definedName name="__123Graph_X270.CGM" localSheetId="0" hidden="1">[1]Earthwork!#REF!</definedName>
    <definedName name="__123Graph_X270.CGM" localSheetId="1" hidden="1">[1]Earthwork!#REF!</definedName>
    <definedName name="__123Graph_X270.CGM" localSheetId="2" hidden="1">[1]Earthwork!#REF!</definedName>
    <definedName name="__123Graph_X270.CGM" localSheetId="3" hidden="1">[1]Earthwork!#REF!</definedName>
    <definedName name="__123Graph_X270.CGM" hidden="1">[1]Earthwork!#REF!</definedName>
    <definedName name="__123Graph_X300.CGM" localSheetId="8" hidden="1">[1]Earthwork!#REF!</definedName>
    <definedName name="__123Graph_X300.CGM" localSheetId="0" hidden="1">[1]Earthwork!#REF!</definedName>
    <definedName name="__123Graph_X300.CGM" localSheetId="1" hidden="1">[1]Earthwork!#REF!</definedName>
    <definedName name="__123Graph_X300.CGM" localSheetId="2" hidden="1">[1]Earthwork!#REF!</definedName>
    <definedName name="__123Graph_X300.CGM" localSheetId="3" hidden="1">[1]Earthwork!#REF!</definedName>
    <definedName name="__123Graph_X300.CGM" hidden="1">[1]Earthwork!#REF!</definedName>
    <definedName name="__123Graph_X60.CGN" localSheetId="8" hidden="1">[1]Earthwork!#REF!</definedName>
    <definedName name="__123Graph_X60.CGN" localSheetId="0" hidden="1">[1]Earthwork!#REF!</definedName>
    <definedName name="__123Graph_X60.CGN" localSheetId="1" hidden="1">[1]Earthwork!#REF!</definedName>
    <definedName name="__123Graph_X60.CGN" localSheetId="2" hidden="1">[1]Earthwork!#REF!</definedName>
    <definedName name="__123Graph_X60.CGN" localSheetId="3" hidden="1">[1]Earthwork!#REF!</definedName>
    <definedName name="__123Graph_X60.CGN" hidden="1">[1]Earthwork!#REF!</definedName>
    <definedName name="__123Graph_X90.CGM" localSheetId="8" hidden="1">[1]Earthwork!#REF!</definedName>
    <definedName name="__123Graph_X90.CGM" localSheetId="0" hidden="1">[1]Earthwork!#REF!</definedName>
    <definedName name="__123Graph_X90.CGM" localSheetId="1" hidden="1">[1]Earthwork!#REF!</definedName>
    <definedName name="__123Graph_X90.CGM" localSheetId="2" hidden="1">[1]Earthwork!#REF!</definedName>
    <definedName name="__123Graph_X90.CGM" localSheetId="3" hidden="1">[1]Earthwork!#REF!</definedName>
    <definedName name="__123Graph_X90.CGM" hidden="1">[1]Earthwork!#REF!</definedName>
    <definedName name="_123Graph_F" localSheetId="8" hidden="1">[5]escon!#REF!</definedName>
    <definedName name="_123Graph_F" localSheetId="0" hidden="1">[5]escon!#REF!</definedName>
    <definedName name="_123Graph_F" localSheetId="1" hidden="1">[5]escon!#REF!</definedName>
    <definedName name="_123Graph_F" localSheetId="2" hidden="1">[5]escon!#REF!</definedName>
    <definedName name="_123Graph_F" localSheetId="3" hidden="1">[5]escon!#REF!</definedName>
    <definedName name="_123Graph_F" hidden="1">[5]escon!#REF!</definedName>
    <definedName name="_Fill" localSheetId="8" hidden="1">#REF!</definedName>
    <definedName name="_Fill" localSheetId="0" hidden="1">#REF!</definedName>
    <definedName name="_Fill" localSheetId="1" hidden="1">#REF!</definedName>
    <definedName name="_Fill" localSheetId="2" hidden="1">#REF!</definedName>
    <definedName name="_Fill" localSheetId="3" hidden="1">#REF!</definedName>
    <definedName name="_Fill" hidden="1">#REF!</definedName>
    <definedName name="_Key1" localSheetId="8" hidden="1">'[6]I-ME'!#REF!</definedName>
    <definedName name="_Key1" localSheetId="0" hidden="1">'[6]I-ME'!#REF!</definedName>
    <definedName name="_Key1" localSheetId="1" hidden="1">'[6]I-ME'!#REF!</definedName>
    <definedName name="_Key1" localSheetId="2" hidden="1">'[6]I-ME'!#REF!</definedName>
    <definedName name="_Key1" localSheetId="3" hidden="1">'[6]I-ME'!#REF!</definedName>
    <definedName name="_Key1" hidden="1">'[6]I-ME'!#REF!</definedName>
    <definedName name="_Key2" localSheetId="8" hidden="1">#REF!</definedName>
    <definedName name="_Key2" localSheetId="0" hidden="1">#REF!</definedName>
    <definedName name="_Key2" localSheetId="1" hidden="1">#REF!</definedName>
    <definedName name="_Key2" localSheetId="2" hidden="1">#REF!</definedName>
    <definedName name="_Key2" localSheetId="3" hidden="1">#REF!</definedName>
    <definedName name="_Key2" hidden="1">#REF!</definedName>
    <definedName name="_Order1" hidden="1">255</definedName>
    <definedName name="_Order2" hidden="1">0</definedName>
    <definedName name="_Sort" localSheetId="8" hidden="1">#REF!</definedName>
    <definedName name="_Sort" localSheetId="0" hidden="1">#REF!</definedName>
    <definedName name="_Sort" localSheetId="1" hidden="1">#REF!</definedName>
    <definedName name="_Sort" localSheetId="2" hidden="1">#REF!</definedName>
    <definedName name="_Sort" localSheetId="3" hidden="1">#REF!</definedName>
    <definedName name="_Sort" hidden="1">#REF!</definedName>
    <definedName name="aaaaa" localSheetId="8" hidden="1">[7]villa!#REF!</definedName>
    <definedName name="aaaaa" localSheetId="0" hidden="1">[7]villa!#REF!</definedName>
    <definedName name="aaaaa" localSheetId="1" hidden="1">[7]villa!#REF!</definedName>
    <definedName name="aaaaa" localSheetId="2" hidden="1">[7]villa!#REF!</definedName>
    <definedName name="aaaaa" localSheetId="3" hidden="1">[7]villa!#REF!</definedName>
    <definedName name="aaaaa" hidden="1">[7]villa!#REF!</definedName>
    <definedName name="ABC" localSheetId="8" hidden="1">[8]ESCON!#REF!</definedName>
    <definedName name="ABC" localSheetId="0" hidden="1">[8]ESCON!#REF!</definedName>
    <definedName name="ABC" localSheetId="1" hidden="1">[8]ESCON!#REF!</definedName>
    <definedName name="ABC" localSheetId="2" hidden="1">[8]ESCON!#REF!</definedName>
    <definedName name="ABC" localSheetId="3" hidden="1">[8]ESCON!#REF!</definedName>
    <definedName name="ABC" hidden="1">[8]ESCON!#REF!</definedName>
    <definedName name="fall" localSheetId="8" hidden="1">#REF!</definedName>
    <definedName name="fall" localSheetId="0" hidden="1">#REF!</definedName>
    <definedName name="fall" localSheetId="1" hidden="1">#REF!</definedName>
    <definedName name="fall" localSheetId="2" hidden="1">#REF!</definedName>
    <definedName name="fall" localSheetId="3" hidden="1">#REF!</definedName>
    <definedName name="fall" hidden="1">#REF!</definedName>
    <definedName name="GFF" hidden="1">[9]SEX!$P$7:$P$7</definedName>
    <definedName name="Prem" localSheetId="8" hidden="1">[10]A!#REF!</definedName>
    <definedName name="Prem" localSheetId="0" hidden="1">[10]A!#REF!</definedName>
    <definedName name="Prem" localSheetId="1" hidden="1">[10]A!#REF!</definedName>
    <definedName name="Prem" localSheetId="2" hidden="1">[10]A!#REF!</definedName>
    <definedName name="Prem" localSheetId="3" hidden="1">[10]A!#REF!</definedName>
    <definedName name="Prem" hidden="1">[10]A!#REF!</definedName>
    <definedName name="_xlnm.Print_Area" localSheetId="4">'KH- PT BEAM'!$A$1:$I$83</definedName>
    <definedName name="_xlnm.Print_Area" localSheetId="1">'KHĐC DẦM SÀN REV 02'!$A$1:$H$50</definedName>
    <definedName name="_xlnm.Print_Area" localSheetId="2">'KHĐC DẦM SÀN REV03'!$A$1:$H$45</definedName>
    <definedName name="_xlnm.Print_Area" localSheetId="3">'KHĐC DẦM SÀN REV03 (2)'!$A$1:$H$46</definedName>
    <definedName name="_xlnm.Print_Area" localSheetId="5">RFI!$A$1:$G$30</definedName>
    <definedName name="あ" localSheetId="8" hidden="1">#REF!</definedName>
    <definedName name="あ" localSheetId="0" hidden="1">#REF!</definedName>
    <definedName name="あ" localSheetId="1" hidden="1">#REF!</definedName>
    <definedName name="あ" localSheetId="2" hidden="1">#REF!</definedName>
    <definedName name="あ" localSheetId="3" hidden="1">#REF!</definedName>
    <definedName name="あ" hidden="1">#REF!</definedName>
  </definedNames>
  <calcPr calcId="179021"/>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3" i="20" l="1"/>
  <c r="A57" i="16" l="1"/>
  <c r="A58" i="16" s="1"/>
  <c r="A59" i="16" s="1"/>
  <c r="A60" i="16" s="1"/>
  <c r="A61" i="16" s="1"/>
  <c r="A62" i="16" s="1"/>
  <c r="F55" i="16"/>
  <c r="E56" i="16" s="1"/>
  <c r="F56" i="16" s="1"/>
  <c r="A48" i="16"/>
  <c r="A49" i="16" s="1"/>
  <c r="A50" i="16" s="1"/>
  <c r="A51" i="16" s="1"/>
  <c r="A52" i="16" s="1"/>
  <c r="A53" i="16" s="1"/>
  <c r="L5" i="16"/>
  <c r="A40" i="16"/>
  <c r="A41" i="16" s="1"/>
  <c r="A42" i="16" s="1"/>
  <c r="A43" i="16" s="1"/>
  <c r="A44" i="16" s="1"/>
  <c r="A10" i="16"/>
  <c r="A11" i="16" s="1"/>
  <c r="A12" i="16" s="1"/>
  <c r="A13" i="16" s="1"/>
  <c r="A14" i="16" s="1"/>
  <c r="A15" i="16" s="1"/>
  <c r="E57" i="16" l="1"/>
  <c r="E39" i="15"/>
  <c r="F39" i="15" s="1"/>
  <c r="E40" i="15" s="1"/>
  <c r="F40" i="15" s="1"/>
  <c r="E41" i="15" s="1"/>
  <c r="F41" i="15" s="1"/>
  <c r="E42" i="15" s="1"/>
  <c r="F42" i="15" s="1"/>
  <c r="E43" i="15" s="1"/>
  <c r="F43" i="15" s="1"/>
  <c r="A39" i="15"/>
  <c r="A40" i="15" s="1"/>
  <c r="A41" i="15" s="1"/>
  <c r="A42" i="15" s="1"/>
  <c r="A43" i="15" s="1"/>
  <c r="A9" i="15"/>
  <c r="A10" i="15" s="1"/>
  <c r="A11" i="15" s="1"/>
  <c r="A12" i="15" s="1"/>
  <c r="A13" i="15" s="1"/>
  <c r="F8" i="15"/>
  <c r="E9" i="15" s="1"/>
  <c r="F9" i="15" s="1"/>
  <c r="F7" i="15"/>
  <c r="F57" i="16" l="1"/>
  <c r="E16" i="15"/>
  <c r="E10" i="15"/>
  <c r="F10" i="15" s="1"/>
  <c r="E11" i="15" s="1"/>
  <c r="F11" i="15" s="1"/>
  <c r="E12" i="15" s="1"/>
  <c r="F12" i="15" s="1"/>
  <c r="E13" i="15" s="1"/>
  <c r="F13" i="15" s="1"/>
  <c r="F6" i="15" s="1"/>
  <c r="E6" i="15"/>
  <c r="A38" i="14"/>
  <c r="A39" i="14" s="1"/>
  <c r="A40" i="14" s="1"/>
  <c r="A41" i="14" s="1"/>
  <c r="A42" i="14" s="1"/>
  <c r="A9" i="14"/>
  <c r="A10" i="14" s="1"/>
  <c r="A11" i="14" s="1"/>
  <c r="A12" i="14" s="1"/>
  <c r="A13" i="14" s="1"/>
  <c r="F8" i="14"/>
  <c r="E9" i="14" s="1"/>
  <c r="F9" i="14" s="1"/>
  <c r="F7" i="14"/>
  <c r="E58" i="16" l="1"/>
  <c r="G6" i="15"/>
  <c r="F16" i="15"/>
  <c r="E16" i="14"/>
  <c r="E10" i="14"/>
  <c r="F10" i="14" s="1"/>
  <c r="E11" i="14" s="1"/>
  <c r="F11" i="14" s="1"/>
  <c r="E12" i="14" s="1"/>
  <c r="F12" i="14" s="1"/>
  <c r="E13" i="14" s="1"/>
  <c r="F13" i="14" s="1"/>
  <c r="F6" i="14" s="1"/>
  <c r="E6" i="14" l="1"/>
  <c r="G6" i="14" s="1"/>
  <c r="F58" i="16"/>
  <c r="E17" i="15"/>
  <c r="F16" i="14"/>
  <c r="E59" i="16" l="1"/>
  <c r="E38" i="15"/>
  <c r="E15" i="15" s="1"/>
  <c r="F17" i="15"/>
  <c r="F15" i="15" s="1"/>
  <c r="E17" i="14"/>
  <c r="G63" i="12"/>
  <c r="G59" i="12"/>
  <c r="G55" i="12"/>
  <c r="G51" i="12"/>
  <c r="G47" i="12"/>
  <c r="A7" i="12"/>
  <c r="A8" i="12" s="1"/>
  <c r="A9" i="12" s="1"/>
  <c r="A10" i="12" s="1"/>
  <c r="A11" i="12" s="1"/>
  <c r="A12" i="12" s="1"/>
  <c r="A13" i="12" s="1"/>
  <c r="A14" i="12" s="1"/>
  <c r="A15" i="12" s="1"/>
  <c r="A16" i="12" s="1"/>
  <c r="A17" i="12" s="1"/>
  <c r="A18" i="12" s="1"/>
  <c r="A19" i="12" s="1"/>
  <c r="A20" i="12" s="1"/>
  <c r="A21" i="12" s="1"/>
  <c r="A22" i="12" s="1"/>
  <c r="A23" i="12" s="1"/>
  <c r="A24" i="12" s="1"/>
  <c r="A25" i="12" s="1"/>
  <c r="A26" i="12" s="1"/>
  <c r="A27" i="12" s="1"/>
  <c r="A28" i="12" s="1"/>
  <c r="A29" i="12" s="1"/>
  <c r="A30" i="12" s="1"/>
  <c r="A31" i="12" s="1"/>
  <c r="A32" i="12" s="1"/>
  <c r="A33" i="12" s="1"/>
  <c r="A34" i="12" s="1"/>
  <c r="A35" i="12" s="1"/>
  <c r="A36" i="12" s="1"/>
  <c r="A37" i="12" s="1"/>
  <c r="A38" i="12" s="1"/>
  <c r="A39" i="12" s="1"/>
  <c r="A40" i="12" s="1"/>
  <c r="A41" i="12" s="1"/>
  <c r="A42" i="12" s="1"/>
  <c r="A43" i="12" s="1"/>
  <c r="A44" i="12" s="1"/>
  <c r="A45" i="12" s="1"/>
  <c r="A46" i="12" s="1"/>
  <c r="A65" i="12"/>
  <c r="A66" i="12" s="1"/>
  <c r="H63" i="12"/>
  <c r="F63" i="12"/>
  <c r="E63" i="12"/>
  <c r="A61" i="12"/>
  <c r="A62" i="12" s="1"/>
  <c r="H59" i="12"/>
  <c r="F59" i="12"/>
  <c r="E59" i="12"/>
  <c r="A57" i="12"/>
  <c r="A58" i="12" s="1"/>
  <c r="H55" i="12"/>
  <c r="F55" i="12"/>
  <c r="E55" i="12"/>
  <c r="A53" i="12"/>
  <c r="A54" i="12" s="1"/>
  <c r="H51" i="12"/>
  <c r="F51" i="12"/>
  <c r="E51" i="12"/>
  <c r="A49" i="12"/>
  <c r="A50" i="12" s="1"/>
  <c r="H47" i="12"/>
  <c r="F47" i="12"/>
  <c r="E47" i="12"/>
  <c r="F59" i="16" l="1"/>
  <c r="G15" i="15"/>
  <c r="F17" i="14"/>
  <c r="E37" i="14"/>
  <c r="E38" i="14" s="1"/>
  <c r="F38" i="14" s="1"/>
  <c r="E39" i="14" s="1"/>
  <c r="F39" i="14" s="1"/>
  <c r="E40" i="14" s="1"/>
  <c r="F40" i="14" s="1"/>
  <c r="E41" i="14" s="1"/>
  <c r="F41" i="14" s="1"/>
  <c r="E42" i="14" s="1"/>
  <c r="F42" i="14" s="1"/>
  <c r="A43" i="11"/>
  <c r="A44" i="11" s="1"/>
  <c r="A45" i="11" s="1"/>
  <c r="A46" i="11" s="1"/>
  <c r="A47" i="11" s="1"/>
  <c r="A9" i="11"/>
  <c r="A10" i="11" s="1"/>
  <c r="A11" i="11" s="1"/>
  <c r="A12" i="11" s="1"/>
  <c r="A13" i="11" s="1"/>
  <c r="F8" i="11"/>
  <c r="E9" i="11" s="1"/>
  <c r="F9" i="11" s="1"/>
  <c r="E16" i="11" s="1"/>
  <c r="F7" i="11"/>
  <c r="E60" i="16" l="1"/>
  <c r="E15" i="14"/>
  <c r="F15" i="14"/>
  <c r="F16" i="11"/>
  <c r="E10" i="11"/>
  <c r="F10" i="11" s="1"/>
  <c r="E11" i="11" s="1"/>
  <c r="F11" i="11" s="1"/>
  <c r="E12" i="11" s="1"/>
  <c r="F12" i="11" s="1"/>
  <c r="F7" i="10"/>
  <c r="F8" i="10"/>
  <c r="E9" i="10" s="1"/>
  <c r="A9" i="10"/>
  <c r="A10" i="10" s="1"/>
  <c r="A11" i="10" s="1"/>
  <c r="A12" i="10" s="1"/>
  <c r="A13" i="10" s="1"/>
  <c r="F60" i="16" l="1"/>
  <c r="G15" i="14"/>
  <c r="E17" i="11"/>
  <c r="E42" i="11" s="1"/>
  <c r="E13" i="11"/>
  <c r="F13" i="11" s="1"/>
  <c r="F6" i="11" s="1"/>
  <c r="A17" i="10"/>
  <c r="A18" i="10" s="1"/>
  <c r="A19" i="10" s="1"/>
  <c r="A20" i="10" s="1"/>
  <c r="A21" i="10" s="1"/>
  <c r="A22" i="10" s="1"/>
  <c r="A23" i="10" s="1"/>
  <c r="F9" i="10"/>
  <c r="E16" i="10" s="1"/>
  <c r="G40" i="10"/>
  <c r="G36" i="10"/>
  <c r="G32" i="10"/>
  <c r="G28" i="10"/>
  <c r="G24" i="10"/>
  <c r="E61" i="16" l="1"/>
  <c r="F17" i="11"/>
  <c r="E6" i="11"/>
  <c r="G6" i="11" s="1"/>
  <c r="F16" i="10"/>
  <c r="E10" i="10"/>
  <c r="F40" i="10"/>
  <c r="E40" i="10"/>
  <c r="F36" i="10"/>
  <c r="E36" i="10"/>
  <c r="F32" i="10"/>
  <c r="E32" i="10"/>
  <c r="E28" i="10"/>
  <c r="F61" i="16" l="1"/>
  <c r="E17" i="10"/>
  <c r="F42" i="11"/>
  <c r="E43" i="11" s="1"/>
  <c r="F10" i="10"/>
  <c r="A42" i="10"/>
  <c r="A43" i="10" s="1"/>
  <c r="A38" i="10"/>
  <c r="A39" i="10" s="1"/>
  <c r="A34" i="10"/>
  <c r="A35" i="10" s="1"/>
  <c r="A30" i="10"/>
  <c r="A31" i="10" s="1"/>
  <c r="A26" i="10"/>
  <c r="A27" i="10" s="1"/>
  <c r="E62" i="16" l="1"/>
  <c r="F43" i="11"/>
  <c r="E11" i="10"/>
  <c r="F28" i="10"/>
  <c r="F62" i="16" l="1"/>
  <c r="E44" i="11"/>
  <c r="F11" i="10"/>
  <c r="E24" i="10"/>
  <c r="F24" i="10"/>
  <c r="F44" i="11" l="1"/>
  <c r="E12" i="10"/>
  <c r="E45" i="11" l="1"/>
  <c r="F45" i="11" s="1"/>
  <c r="E46" i="11" s="1"/>
  <c r="F46" i="11" s="1"/>
  <c r="E47" i="11" s="1"/>
  <c r="F12" i="10"/>
  <c r="F47" i="11" l="1"/>
  <c r="F15" i="11" s="1"/>
  <c r="E15" i="11"/>
  <c r="E13" i="10"/>
  <c r="G15" i="11" l="1"/>
  <c r="F13" i="10"/>
  <c r="E6" i="10"/>
  <c r="F6" i="10" l="1"/>
  <c r="G6" i="10" l="1"/>
  <c r="F17" i="10" l="1"/>
  <c r="E18" i="10"/>
  <c r="F18" i="10" l="1"/>
  <c r="E19" i="10" s="1"/>
  <c r="F19" i="10" s="1"/>
  <c r="E20" i="10" s="1"/>
  <c r="F20" i="10" s="1"/>
  <c r="E21" i="10" s="1"/>
  <c r="F21" i="10" s="1"/>
  <c r="E22" i="10" s="1"/>
  <c r="F22" i="10" s="1"/>
  <c r="E23" i="10" s="1"/>
  <c r="F23" i="10" s="1"/>
  <c r="F15" i="10" l="1"/>
  <c r="E15" i="10"/>
  <c r="G15" i="1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6" authorId="0" shapeId="0" xr:uid="{00000000-0006-0000-0400-000001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Vina cần bản vẽ thi công ngày 04/3/2024 </t>
        </r>
      </text>
    </comment>
    <comment ref="I6" authorId="0" shapeId="0" xr:uid="{00000000-0006-0000-0400-000002000000}">
      <text>
        <r>
          <rPr>
            <b/>
            <sz val="9"/>
            <color indexed="81"/>
            <rFont val="Tahoma"/>
            <family val="2"/>
          </rPr>
          <t>Author:</t>
        </r>
        <r>
          <rPr>
            <sz val="9"/>
            <color indexed="81"/>
            <rFont val="Tahoma"/>
            <family val="2"/>
          </rPr>
          <t xml:space="preserve">
Ri: 1/4
NTC: 6/1
SOL: 13/4</t>
        </r>
      </text>
    </comment>
    <comment ref="F7" authorId="0" shapeId="0" xr:uid="{00000000-0006-0000-0400-000003000000}">
      <text>
        <r>
          <rPr>
            <sz val="11"/>
            <color theme="1"/>
            <rFont val="Calibri"/>
            <family val="2"/>
            <scheme val="minor"/>
          </rPr>
          <t xml:space="preserve">[Threaded comment]
Your version of Excel allows you to read this threaded comment; however, any edits to it will get removed if the file is opened in a newer version of Excel. Learn more: https://go.microsoft.com/fwlink/?linkid=870924
Comment:
    Vina cần bản vẽ thi công ngày 04/3/2024 </t>
        </r>
      </text>
    </comment>
    <comment ref="I7" authorId="0" shapeId="0" xr:uid="{00000000-0006-0000-0400-000004000000}">
      <text>
        <r>
          <rPr>
            <b/>
            <sz val="9"/>
            <color indexed="81"/>
            <rFont val="Tahoma"/>
            <family val="2"/>
          </rPr>
          <t>Author:</t>
        </r>
        <r>
          <rPr>
            <sz val="9"/>
            <color indexed="81"/>
            <rFont val="Tahoma"/>
            <family val="2"/>
          </rPr>
          <t xml:space="preserve">
Ri: 1/4
NTC: 6/1
SOL: 13/4</t>
        </r>
      </text>
    </comment>
    <comment ref="F16" authorId="0" shapeId="0" xr:uid="{00000000-0006-0000-0400-000005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Vina cần bản vẽ thi công ngày 04/04/2024</t>
        </r>
      </text>
    </comment>
    <comment ref="I16" authorId="0" shapeId="0" xr:uid="{00000000-0006-0000-0400-000006000000}">
      <text>
        <r>
          <rPr>
            <b/>
            <sz val="9"/>
            <color indexed="81"/>
            <rFont val="Tahoma"/>
            <family val="2"/>
          </rPr>
          <t>Author:</t>
        </r>
        <r>
          <rPr>
            <sz val="9"/>
            <color indexed="81"/>
            <rFont val="Tahoma"/>
            <family val="2"/>
          </rPr>
          <t xml:space="preserve">
Ri: 1/4
NTC: 6/1
SOL: 13/4</t>
        </r>
      </text>
    </comment>
    <comment ref="F45" authorId="0" shapeId="0" xr:uid="{00000000-0006-0000-0400-000007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Vina cần bản vẽ thi công ngày 29/04/2024</t>
        </r>
      </text>
    </comment>
    <comment ref="I45" authorId="0" shapeId="0" xr:uid="{00000000-0006-0000-0400-000008000000}">
      <text>
        <r>
          <rPr>
            <b/>
            <sz val="9"/>
            <color indexed="81"/>
            <rFont val="Tahoma"/>
            <family val="2"/>
          </rPr>
          <t>Author:</t>
        </r>
        <r>
          <rPr>
            <sz val="9"/>
            <color indexed="81"/>
            <rFont val="Tahoma"/>
            <family val="2"/>
          </rPr>
          <t xml:space="preserve">
Ri: 1/4
NTC: 6/1
SOL: 13/4</t>
        </r>
      </text>
    </comment>
    <comment ref="F54" authorId="0" shapeId="0" xr:uid="{00000000-0006-0000-0400-000009000000}">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Vina cần bản vẽ ngày 24/5/2024</t>
        </r>
      </text>
    </comment>
    <comment ref="I54" authorId="0" shapeId="0" xr:uid="{00000000-0006-0000-0400-00000A000000}">
      <text>
        <r>
          <rPr>
            <b/>
            <sz val="9"/>
            <color indexed="81"/>
            <rFont val="Tahoma"/>
            <family val="2"/>
          </rPr>
          <t>Author:</t>
        </r>
        <r>
          <rPr>
            <sz val="9"/>
            <color indexed="81"/>
            <rFont val="Tahoma"/>
            <family val="2"/>
          </rPr>
          <t xml:space="preserve">
Ri: 1/4
NTC: 6/1
SOL: 13/4</t>
        </r>
      </text>
    </comment>
  </commentList>
</comments>
</file>

<file path=xl/sharedStrings.xml><?xml version="1.0" encoding="utf-8"?>
<sst xmlns="http://schemas.openxmlformats.org/spreadsheetml/2006/main" count="919" uniqueCount="273">
  <si>
    <t>STT</t>
  </si>
  <si>
    <t>Nội dung</t>
  </si>
  <si>
    <t>Ngày bắt đầu</t>
  </si>
  <si>
    <t>Ngày hoàn thành</t>
  </si>
  <si>
    <t>Tình trạng</t>
  </si>
  <si>
    <t>II</t>
  </si>
  <si>
    <t>III</t>
  </si>
  <si>
    <t>IV</t>
  </si>
  <si>
    <t>V</t>
  </si>
  <si>
    <t>VI</t>
  </si>
  <si>
    <t>Dự án: CẢNG HÀNG KHÔNG QUỐC TẾ LONG THÀNH</t>
  </si>
  <si>
    <t>Tầng trệt</t>
  </si>
  <si>
    <t>Tầng 1</t>
  </si>
  <si>
    <t>Tầng 2</t>
  </si>
  <si>
    <t>Tầng 3</t>
  </si>
  <si>
    <t>Tầng 4</t>
  </si>
  <si>
    <t>Trách nhiệm</t>
  </si>
  <si>
    <t>VIETUR</t>
  </si>
  <si>
    <t>Ghi chú</t>
  </si>
  <si>
    <t>Thời gian hoàn thành
(ngày)</t>
  </si>
  <si>
    <t>VNCC</t>
  </si>
  <si>
    <t>Liên danh</t>
  </si>
  <si>
    <t>JAC-CONINCO</t>
  </si>
  <si>
    <t>Theo quy trình đã trình bày trong cuộc họp ngày 07/11 (ACV-Coninco-JAC) thì thời gian phản hồi từ 7 đến 14 ngày</t>
  </si>
  <si>
    <t>Theo quy trình đã trình bày trong cuộc họp ngày 07/11 (ACV-Coninco-JAC) thì thời gian đệ trình từ 2 đến 3 ngày</t>
  </si>
  <si>
    <t xml:space="preserve">
Nhận ý kiến Coninco: 02/11
Nhận ý kiến JAC: 07/11
QLTK Vietur sẽ kiểm tra và note lại các ý VNCC chưa update (nếu có)</t>
  </si>
  <si>
    <t>Theo quy trình đã trình bày trong cuộc họp ngày 07/11 (ACV-Coninco-JAC) thì thời gian để VNCC điều chỉnh từ 4-17 ngày</t>
  </si>
  <si>
    <t>VNCC/Vietur đệ trình lần 2 hồ sơ TKB3-p2 cho Coninco-JAC .</t>
  </si>
  <si>
    <t>VNCC cập nhật TKB3-P1(rev 17/10) theo các comment của Đơn vị thẩm tra JAC-CONINCO, RFI của nhà thầu liên danh.</t>
  </si>
  <si>
    <t xml:space="preserve">VNCC cập nhật TKB3-P1 theo dữ liệu liên danh gửi ở mục 4   </t>
  </si>
  <si>
    <t>Đơn vị Thẩm tra JAC-CONINCO kiểm tra lần 2 hồ sơ TKB3-P1 và đồng ý phát hành</t>
  </si>
  <si>
    <t xml:space="preserve">Liên danh điều chỉnh TKB3-P2 như bản vẽ mẫu gửi cho VNCC ngày 9/11/2023 </t>
  </si>
  <si>
    <t>VNCC cập nhật TKB3-P2 theo các comment của Đơn vị thẩm tra JAC-CONINCO, RFI của nhà thầu liên danh.</t>
  </si>
  <si>
    <t>Đơn vị Thẩm tra JAC-CONINCO kiểm tra hồ sơ lần 1 của TKB3-P2</t>
  </si>
  <si>
    <t xml:space="preserve">VNCC phát hành TKB3-P1 đã cập nhật cho Liên Danh 
</t>
  </si>
  <si>
    <t>VNCC phát hành lại TKB3-P1 cho Liên danh và đệ trình thẩm tra JAC-CONINCO.</t>
  </si>
  <si>
    <t>Đơn vị Thẩm tra JAC-CONINCO đồng ý phát hành TKB3-P2</t>
  </si>
  <si>
    <t>Liên danh review TKB3-P1. Nếu có ý kiến, gửi RFI cho QLTK</t>
  </si>
  <si>
    <t>VNCC/Vietur gửi hồ sơ hồ sơ TKB3-P2 (Dầm sàn pit, cầu thang, sleeve) cho liên danh</t>
  </si>
  <si>
    <t>Ngày: 11/11/2023</t>
  </si>
  <si>
    <t>Bộ Phận: QLTK - Engineering</t>
  </si>
  <si>
    <t>KẾ HOẠCH PHÁT HÀNH THIẾT KẾ BƯỚC 3</t>
  </si>
  <si>
    <t>I</t>
  </si>
  <si>
    <t>Có thể cập nhật RFI lên link Google Sheet tương tác của Thiết kế bước 3 - Nhà thầu liên danh</t>
  </si>
  <si>
    <t>VNCC/Vietur đệ trình lần 1 hồ sơ TKB3-P1 (Móng, cột, vách)</t>
  </si>
  <si>
    <r>
      <t>Kết cấu hầm - Phần 1 (gồm Móng, cột, vách)</t>
    </r>
    <r>
      <rPr>
        <b/>
        <sz val="12"/>
        <color theme="1"/>
        <rFont val="Tahoma"/>
        <family val="2"/>
        <charset val="163"/>
      </rPr>
      <t xml:space="preserve"> </t>
    </r>
    <r>
      <rPr>
        <sz val="12"/>
        <color theme="1"/>
        <rFont val="Tahoma"/>
        <family val="2"/>
      </rPr>
      <t xml:space="preserve"> (</t>
    </r>
    <r>
      <rPr>
        <sz val="12"/>
        <color rgb="FFFF0000"/>
        <rFont val="Tahoma"/>
        <family val="2"/>
      </rPr>
      <t>Liên danh không tham gia điều chỉnh TKB3)</t>
    </r>
  </si>
  <si>
    <r>
      <t>Kết cấu hầm - Phần 2 (gồm Dầm sàn pít, cầu thang, sleeve)</t>
    </r>
    <r>
      <rPr>
        <b/>
        <sz val="12"/>
        <color theme="1"/>
        <rFont val="Tahoma"/>
        <family val="2"/>
        <charset val="163"/>
      </rPr>
      <t xml:space="preserve"> </t>
    </r>
    <r>
      <rPr>
        <sz val="12"/>
        <color theme="1"/>
        <rFont val="Tahoma"/>
        <family val="2"/>
      </rPr>
      <t xml:space="preserve"> (</t>
    </r>
    <r>
      <rPr>
        <sz val="12"/>
        <color rgb="FFFF0000"/>
        <rFont val="Tahoma"/>
        <family val="2"/>
      </rPr>
      <t>Liên danh tham gia điều chỉnh TKB3)</t>
    </r>
  </si>
  <si>
    <t xml:space="preserve">VNCC cập nhật TKB3-P2 theo dữ liệu liên danh gửi ở mục 2   </t>
  </si>
  <si>
    <t xml:space="preserve">VNCC/Vietur đệ trình lần 1 hồ sơ TKB3-P2 cho Coninco-JAC </t>
  </si>
  <si>
    <t>Ngày: 20/11/2023</t>
  </si>
  <si>
    <t>KẾ HOẠCH ĐIỀU CHỈNH DẦM SÀN THIẾT KẾ BƯỚC 3</t>
  </si>
  <si>
    <t>DBIM</t>
  </si>
  <si>
    <t>Nhà phát triển DBIM hướng dẫn sử dụng phần mềm DBIM</t>
  </si>
  <si>
    <t>(1h00-5h00)</t>
  </si>
  <si>
    <t>(8h30-11h30)</t>
  </si>
  <si>
    <t>2.1</t>
  </si>
  <si>
    <t>2.2</t>
  </si>
  <si>
    <t>2.3</t>
  </si>
  <si>
    <t>2.4</t>
  </si>
  <si>
    <t>2.5</t>
  </si>
  <si>
    <t>2.6</t>
  </si>
  <si>
    <t>2.7</t>
  </si>
  <si>
    <t>2.8</t>
  </si>
  <si>
    <t>2.9</t>
  </si>
  <si>
    <t>2.10</t>
  </si>
  <si>
    <t>Team SDS
liên danh</t>
  </si>
  <si>
    <t>DBIM viết thêm tính năng riêng để sửa điều chỉnh Dầm cho dự án LTIA</t>
  </si>
  <si>
    <t>Mr. DUY DBIM</t>
  </si>
  <si>
    <t>Mr. TÂN/Mr.Đức
Hancorp/NTC</t>
  </si>
  <si>
    <t>Cài đặt Ứng dụng DBIM vào máy tính anh em SDS liên danh</t>
  </si>
  <si>
    <t>Cài đặt dữ liệu dầm sàn đã nhập, vào máy tính tất cả anh em SDS Liên danh.</t>
  </si>
  <si>
    <t>Nhập dữ liệu Dầm Sàn vào DBIM.</t>
  </si>
  <si>
    <t>Mr.Lực</t>
  </si>
  <si>
    <t>Ngày: 21/11/2023</t>
  </si>
  <si>
    <t>BẢN CHUYỂN GIAO ĐIỀU CHỈNH DẦM SÀN THIẾT KẾ BƯỚC 3</t>
  </si>
  <si>
    <t>Đã kiểm tra đoạn neo nối</t>
  </si>
  <si>
    <t>Đã kiểm tra bảng thông kê thép</t>
  </si>
  <si>
    <t>Tên File</t>
  </si>
  <si>
    <t>Số trang bản vẽ</t>
  </si>
  <si>
    <t>ký xác nhận
(Ghi rõ họ tên)</t>
  </si>
  <si>
    <t>Đơn Vị</t>
  </si>
  <si>
    <t>Ngày chuyển giao</t>
  </si>
  <si>
    <t>□</t>
  </si>
  <si>
    <t>AE Liên danh hoàn thành điều chỉnh thiết kế đến đâu, gửi lên nhóm "DBIM SDS" cho Anh Lực đến đó.</t>
  </si>
  <si>
    <t>(10h00)</t>
  </si>
  <si>
    <t>Mr.Hùng (VNCC)</t>
  </si>
  <si>
    <t>(16h30)</t>
  </si>
  <si>
    <t>Đã điều chỉnh Song ngữ trong ghi chú như yêu cầu của VNCC</t>
  </si>
  <si>
    <t>(22h30)</t>
  </si>
  <si>
    <t>(17h00-22h00)</t>
  </si>
  <si>
    <t>(3 ngày)</t>
  </si>
  <si>
    <t>Công tác chuẩn bị</t>
  </si>
  <si>
    <t>2.11</t>
  </si>
  <si>
    <t>2.12</t>
  </si>
  <si>
    <t>2.13</t>
  </si>
  <si>
    <t>2.14</t>
  </si>
  <si>
    <t>2.15</t>
  </si>
  <si>
    <t>(14h00)</t>
  </si>
  <si>
    <t>Vùng nối thép sàn, vi phạn vùng cấm theo Spec. Liên danh yêu cầu VNCC hướng dẫn.</t>
  </si>
  <si>
    <t>Mr.Lực/
Mr.Hùng (DB)</t>
  </si>
  <si>
    <t>(15h00/17h00)</t>
  </si>
  <si>
    <t>Mr.Hùng (DB)</t>
  </si>
  <si>
    <t>(9h00)</t>
  </si>
  <si>
    <t>(8h00)</t>
  </si>
  <si>
    <t>(17h00)</t>
  </si>
  <si>
    <t xml:space="preserve">Trách nhiệm kết nối thuộc về leader SDS </t>
  </si>
  <si>
    <t>Liên danh xuất bảng thống kê khối lượng thép sàn theo bản vẽ điều chỉnh bổ sung.</t>
  </si>
  <si>
    <t>Đơn vị TKB3 (VNCC) comment bản vẽ điều chỉnh cốt thép sàn Hầm PIT (nếu có)</t>
  </si>
  <si>
    <t>Liên danh Sửa bổ sung theo comment VNCC</t>
  </si>
  <si>
    <t>2.16</t>
  </si>
  <si>
    <t>2.17</t>
  </si>
  <si>
    <t>2.18</t>
  </si>
  <si>
    <t>2.19</t>
  </si>
  <si>
    <t>2.20</t>
  </si>
  <si>
    <t>2.21</t>
  </si>
  <si>
    <t>Điều chỉnh các Dầm kiềng có thanh sắt lớn hon 11,7m của Hầm PIT</t>
  </si>
  <si>
    <t>Kiểm tra bản vẽ cốt thép Dầm kiềng đã điều chỉnh</t>
  </si>
  <si>
    <t>Đơn vị VNCC phản hồi điều chỉnh bổ sung song ngữ trong ghi chú cách đặt tên thanh cốt thép dầm kiềng.</t>
  </si>
  <si>
    <t>Điều chỉnh Sàn hầm PIT: Liên danh điều chỉnh bản vẽ Thiết kế bổ sung đoạn nối chồng cho vị trí zone thi công giữa các nhà thầu. Các nhà thầu phối hợp kết nối vào mặt bằng chung.</t>
  </si>
  <si>
    <t>Liên danh điều chỉnh nối chồng thép sàn và xuất bảng khối lượng khi ACV hướng dẫn sớm (trả lời RFI Spec vi phạm vùng cấm nối).</t>
  </si>
  <si>
    <t>2.22</t>
  </si>
  <si>
    <t>2.23</t>
  </si>
  <si>
    <t>2.24</t>
  </si>
  <si>
    <t xml:space="preserve">VNCC phát hành TKB3-P1 đã cập nhật cho Liên Danh </t>
  </si>
  <si>
    <t>điều chỉnh lại khi ACV có hướng dẫn vùng nối thép Sàn và xuất khối lượng.</t>
  </si>
  <si>
    <t>Yêu xem xét và hướng dẫn liên danh trước 9h00 sáng thứ hai ngày 27/11</t>
  </si>
  <si>
    <t>27/11 team SDS thống nhất điều chỉnh zone lớn thi công bằng nét đứt vào mặt bằng tổng và thêm chi tiết mạch ngừng.</t>
  </si>
  <si>
    <t>-</t>
  </si>
  <si>
    <t>Gửi mail cho Mr.Hùng QLTKKC các bản vẽ điều chỉnh song ngữ.</t>
  </si>
  <si>
    <t>Mr.Hùng QLTKKC gửi RFI trước qua zalo cho ACV và VNCC</t>
  </si>
  <si>
    <t>Kiểm tra và gửi E-mail bản vẽ điều chỉnh bổ sung đoạn nối chồng giữa các zone thi công cho Mr.Hùng QLTKKC và C.C cho VNCC</t>
  </si>
  <si>
    <t>Gửi  mail Bản vẽ cốt thép dầm kiềng đã điều chỉnh cho Mr.Hùng Quản lý thiết kế kết cấu (QLTKKC) và CC cho Đơn vị TKB3 (VNCC)</t>
  </si>
  <si>
    <t>Mr.Hùng QLTKKC soạn RFI; Mr.Lực chuẩn bị tài liệu thể hiện spec vi phạm vùng cấm nối chồng của thép sàn.</t>
  </si>
  <si>
    <t>Mr.Hùng QLTKKC gửi RFI bản cứng cho ACV và VNCC</t>
  </si>
  <si>
    <t>Kiểm tra, gửi E-mail bản vẽ điều chỉnh bổ sung đoạn nối chồng giữa các zone thi công và bảng thống kế khối lượng thép cho Mr.Hùng QLTK KCvà C.C cho VNCC</t>
  </si>
  <si>
    <t>Kiểm tra bản vẽ và bảng thống kê khối lượng thép sàn. Gửi E-mail cho Mr.Hùng QLTKKC và C.C cho VNCC</t>
  </si>
  <si>
    <t>Khó khăn/vướng mắc/Giải pháp</t>
  </si>
  <si>
    <t>Thuận lợi/Phát huy</t>
  </si>
  <si>
    <t>Mr.Hùng Quản lý Thiết kế , Theo dõi nhắc nhở ACV sớm hướng dẫn thực hiện qui cách nối chồng cho thép sàn Hầm PIT.</t>
  </si>
  <si>
    <t>KẾ HOẠCH ĐIỀU CHỈNH DẦM SÀN THIẾT KẾ BƯỚC 3 - REV 03</t>
  </si>
  <si>
    <t>Ngày: 28/11/2023</t>
  </si>
  <si>
    <t>(11h00)</t>
  </si>
  <si>
    <t>Vùng nối thép sàn, vi phạn vùng cấm theo Spec. Liên danh yêu cầu VNCC và team Thiết kế hướng dẫn.</t>
  </si>
  <si>
    <t>Mr.Hùng QLTKKC</t>
  </si>
  <si>
    <t>Mr.Lực/
Mr.Hùng QLTKKC</t>
  </si>
  <si>
    <t>Mr.Hùng QLTKKC gửi RFI (Spec vi phạm vùng neo nối thép sàn hầm pit) bản cứng cho ACV /TKB2 / TKB3</t>
  </si>
  <si>
    <t>Arup</t>
  </si>
  <si>
    <t>TKB3 (VNCC) nhận trả lời từ ACV/Arup, điều chỉnh sửa ghi chú chung cập nhật vào thiết kế "hướng dẫn vùng nối thép sàn hầm"</t>
  </si>
  <si>
    <t>Theo qui trình Thiết kế bước 2 trả lời 7 ngày</t>
  </si>
  <si>
    <t>Kế hoạch này sửa ghi chú nhanh, phát hành thiết kế nhanh nhưng có rủi ro</t>
  </si>
  <si>
    <t>VNCC
Team SDS
liên danh</t>
  </si>
  <si>
    <t>Nhận trả lời từ ACV/Arup "hướng dẫn vùng nối thép sàn hầm".
- VNCC điều chỉnh sửa ghi chú chung cập nhật vào thiết kế.
- Team SDS Liên danh tách thanh thép sàn hầm PIT.</t>
  </si>
  <si>
    <t>Đưa shop tách thanh thép vào chậm thêm 4 ngày nhưng ít rủi ro hơn</t>
  </si>
  <si>
    <t xml:space="preserve">- Nhân số đông, triển khai nhanh, hoàn thành trong thời gian ngắn.
- Tận dụng công nghệ "share point"; 'google sheet"… chia sẽ dữ liệu, phối hợp điều chỉnh cùng trang thiết kế nhanh, thuận lợi.
- Nhà phát triển ứng dụng DBIM, ưu tiên hổ trợ dự án, cập nhật những tính năng riêng cho công tác điều chỉnh cốt thép.
- Nhiều anh em thành viên Liên danh nhiệt tình hổ trợ, hướng dẫn anh em chưa quen ứng dụng DBIM.
- Nhiều ý kiến đóng góp, hoàn thiện việc điều chỉnh TKB3 bảo vệ quyền lợi Liên danh sau này (thuận lợi nghiệm thu và khối lượng).
- Amin Liên danh chuẩn bị vị trí (bàn ghế, điện...) chổ làm việc tạm cho team SDS Liên danh.
</t>
  </si>
  <si>
    <r>
      <t xml:space="preserve">- Để đồng bộ thực hiện ứng dụng, mất gần 1 ngày cài đặt ứng dụng, làm quen và nghe nhà phát triển phần mềm hướng dẫn sử dụng.
- Một số thành viên không tập trung ngồi cùng bàn, khó khăn trong công tác phối hợp nóng, triển khai ý nhanh. Dẫn đến không thông suốt, gây hiểu nhầm nhau. </t>
    </r>
    <r>
      <rPr>
        <sz val="11"/>
        <color rgb="FFFF0000"/>
        <rFont val="Tahoma"/>
        <family val="2"/>
      </rPr>
      <t>--&gt; Giải pháp, lần tập trung sau, cần tập trung đầy đủ 100%, Nếu không tập trung, phải được Chỉ Huy Trưởng chủ quản xác nhận và chịu trách nhiệm về tính đồng bộ.</t>
    </r>
    <r>
      <rPr>
        <sz val="11"/>
        <color theme="1"/>
        <rFont val="Tahoma"/>
        <family val="2"/>
      </rPr>
      <t xml:space="preserve">
- Nội dung, yêu cầu điều chỉnh, có định hướng nhưng chưa có mẫu cụ thể, việc này cũng gây mất thời gian giải thích, hướng dẫn tính đồng bộ. </t>
    </r>
    <r>
      <rPr>
        <sz val="11"/>
        <color rgb="FFFF0000"/>
        <rFont val="Tahoma"/>
        <family val="2"/>
      </rPr>
      <t xml:space="preserve">--&gt; giải pháp, chuẩn bị mẫu, tài liệu hướng dẫn cụ thể.
</t>
    </r>
    <r>
      <rPr>
        <sz val="11"/>
        <rFont val="Tahoma"/>
        <family val="2"/>
      </rPr>
      <t xml:space="preserve">- RFI (Spec xung đột kỹ thuật, vi phạm vùng nối), phát hiện trể dẫn đến mất thời gian hoàn thiện sản phẩn đầu cuối. </t>
    </r>
    <r>
      <rPr>
        <sz val="11"/>
        <color rgb="FFFF0000"/>
        <rFont val="Tahoma"/>
        <family val="2"/>
      </rPr>
      <t>--&gt; Khi nhận thiết kế Liên danh cần kiểm tra soát xét, sớm phát hiện các vấn đề có liên quan đến TKB2, sớm làm RFI trình lên ACV hướng dẫn.</t>
    </r>
    <r>
      <rPr>
        <sz val="11"/>
        <color theme="1"/>
        <rFont val="Tahoma"/>
        <family val="2"/>
      </rPr>
      <t xml:space="preserve">
  </t>
    </r>
  </si>
  <si>
    <t xml:space="preserve">VNCC cập nhật TKB3 theo dữ liệu liên danh gửi ở mục 2   </t>
  </si>
  <si>
    <t>Đơn vị Thẩm tra JAC-CONINCO kiểm tra hồ sơ lần 1 của TKB3</t>
  </si>
  <si>
    <t>VNCC cập nhật TKB3 theo các comment của Đơn vị thẩm tra JAC-CONINCO, RFI của nhà thầu liên danh.</t>
  </si>
  <si>
    <t>VNCC/Vietur đệ trình lần 2 hồ sơ TKB3 cho Coninco-JAC .</t>
  </si>
  <si>
    <t xml:space="preserve">VNCC/Vietur đệ trình lần 1 hồ sơ TKB3 cho Coninco-JAC </t>
  </si>
  <si>
    <t>Đơn vị Thẩm tra JAC-CONINCO đồng ý phát hành TKB3</t>
  </si>
  <si>
    <t>Vinaconex</t>
  </si>
  <si>
    <t>CC1</t>
  </si>
  <si>
    <t>TechDcon</t>
  </si>
  <si>
    <t>hancorp</t>
  </si>
  <si>
    <t>NTC</t>
  </si>
  <si>
    <t>RI</t>
  </si>
  <si>
    <t>Sol</t>
  </si>
  <si>
    <t>VSL</t>
  </si>
  <si>
    <t>Minh Đức---?</t>
  </si>
  <si>
    <t>Phục Hưng</t>
  </si>
  <si>
    <t>Chưa chốt (9/12)</t>
  </si>
  <si>
    <t>Khóa file nhận thông tin: 9/12</t>
  </si>
  <si>
    <t>Thầu phụ: chốt thông tin: 9/12</t>
  </si>
  <si>
    <t>tiến độ thi công: gửi thông tin để nhà thầu ý kiến</t>
  </si>
  <si>
    <t>Fressenet</t>
  </si>
  <si>
    <t>VNCC/Vietur gửi hồ sơ hồ sơ TKB3 cho liên danh</t>
  </si>
  <si>
    <t>Liên danh điều chỉnh thông tin và gửi lại cho Vietur/vncc</t>
  </si>
  <si>
    <t>MỐC THỜI GIAN VINACONEX CẦN BẢN VẼ</t>
  </si>
  <si>
    <r>
      <t xml:space="preserve">Kết cấu 1F-  </t>
    </r>
    <r>
      <rPr>
        <b/>
        <sz val="12"/>
        <color rgb="FFFF0000"/>
        <rFont val="Tahoma"/>
        <family val="2"/>
      </rPr>
      <t>(Liên danh tham gia điều chỉnh TKB3)</t>
    </r>
  </si>
  <si>
    <r>
      <t xml:space="preserve">Kết cấu 2F  </t>
    </r>
    <r>
      <rPr>
        <b/>
        <sz val="12"/>
        <color rgb="FFFF0000"/>
        <rFont val="Tahoma"/>
        <family val="2"/>
      </rPr>
      <t>(Liên danh tham gia điều chỉnh TKB3)</t>
    </r>
  </si>
  <si>
    <r>
      <t xml:space="preserve">Kết cấu 3F </t>
    </r>
    <r>
      <rPr>
        <b/>
        <sz val="12"/>
        <color rgb="FFFF0000"/>
        <rFont val="Tahoma"/>
        <family val="2"/>
      </rPr>
      <t>(Liên danh tham gia điều chỉnh TKB3)</t>
    </r>
  </si>
  <si>
    <r>
      <t xml:space="preserve">Kết cấu 4F </t>
    </r>
    <r>
      <rPr>
        <b/>
        <sz val="12"/>
        <color rgb="FFFF0000"/>
        <rFont val="Tahoma"/>
        <family val="2"/>
      </rPr>
      <t>(Liên danh tham gia điều chỉnh TKB3)</t>
    </r>
  </si>
  <si>
    <t xml:space="preserve">V </t>
  </si>
  <si>
    <r>
      <t xml:space="preserve">Kết cấu GF-  </t>
    </r>
    <r>
      <rPr>
        <b/>
        <sz val="12"/>
        <color rgb="FFFF0000"/>
        <rFont val="Tahoma"/>
        <family val="2"/>
      </rPr>
      <t>(Liên danh tham gia điều chỉnh TKB3)</t>
    </r>
  </si>
  <si>
    <t>Ngày: 28/12/2023</t>
  </si>
  <si>
    <t>Tiến đô tổng thể: CIH CỘT: 17/2; DẦM SÀN TREO: 22/1</t>
  </si>
  <si>
    <t>Tiến đô tổng thể: CIH CỘT: 21/3; DẦM SÀN : 02/3</t>
  </si>
  <si>
    <t>Tiến đô tổng thể: CIH CỘT: 22/4; DẦM SÀN : 07/4</t>
  </si>
  <si>
    <t>Tiến đô tổng thể: CIH CỘT: 24/5; DẦM SÀN : 09/5</t>
  </si>
  <si>
    <t>Tiến đô tổng thể: CIH CỘT: 07/6; DẦM SÀN : 14/6</t>
  </si>
  <si>
    <t>Vina cần bản vẽ thi công:
Cột: 15/01/2023
Dầm, sàn: 15/01/2023</t>
  </si>
  <si>
    <t>Vina cần bản vẽ thi công:
Cột: 06/03/2024
Dầm, sàn: 17/02/2024</t>
  </si>
  <si>
    <t>Vina cần bản vẽ thi công:
Cột: 07/04/2024
Dầm, sàn: 22/03/2024</t>
  </si>
  <si>
    <t>Vina cần bản vẽ thi công
 Cột: 16/05/2024
Dầm, sàn: 24/04/2024</t>
  </si>
  <si>
    <t>Vina cần bản vẽ thi công
 Cột: 22/05/2024
Dầm, sàn: 29/05/2024</t>
  </si>
  <si>
    <t>Bộ Phận: Shopdrawing</t>
  </si>
  <si>
    <t>DANH MỤC TÌNH TRẠNG BẢN VẼ TKTC</t>
  </si>
  <si>
    <t>CẤU KIỆN</t>
  </si>
  <si>
    <t>TÌNH TRẠNG</t>
  </si>
  <si>
    <t>GHI CHÚ</t>
  </si>
  <si>
    <t>Vách thang máy GF-T1</t>
  </si>
  <si>
    <t>Đã phê duyệt</t>
  </si>
  <si>
    <t>Chưa phê duyệt</t>
  </si>
  <si>
    <t>Vách thang bộ GF-T1</t>
  </si>
  <si>
    <t>Cầu thang bộ GF-T1</t>
  </si>
  <si>
    <t>Bản vẽ Vách thang máy</t>
  </si>
  <si>
    <t>Bản vẽ Cột GF-T1</t>
  </si>
  <si>
    <t>Bản vẽ Vách thang bộ</t>
  </si>
  <si>
    <t>Bản vẽ MBKC tầng 1</t>
  </si>
  <si>
    <t>Bản vẽ chi tiết trụ tường tầng GF, T1</t>
  </si>
  <si>
    <t>- Chưa nhận bản vẽ thang EL64</t>
  </si>
  <si>
    <t>- Chưa có cơ sở để đặt thép chờ sau khi lắp thép sàn</t>
  </si>
  <si>
    <t>Vách PIT thang máy T1</t>
  </si>
  <si>
    <t>- Đợt 1 gửi ngày 17 03 2024
- Đợt 2 gửi ngày 26 03 2024 (chỉnh sửa lỗ mở ME, bổ sung các dầm tăng cường chưa có chi tiết dầm)
- Chưa thể hiện các cao độ dầm sàn khu vực thang MV-12</t>
  </si>
  <si>
    <t>MB định vị cột vách GF-T1</t>
  </si>
  <si>
    <t>MB định vị cột vách T1-T2</t>
  </si>
  <si>
    <t>-Chưa đủ cơ sở để đặt thép chờ vào vách</t>
  </si>
  <si>
    <t>- Đang thực hiện theo bản vẽ ngày 19 03 2024</t>
  </si>
  <si>
    <t>- Bản vẽ phê duyệt 1C 05 12 2023
'- Nhận bản vẽ cập nhật ngày 23 03 2024 chưa phê duyệt lại</t>
  </si>
  <si>
    <t xml:space="preserve">Ngày: </t>
  </si>
  <si>
    <t xml:space="preserve"> BẢN VẼ</t>
  </si>
  <si>
    <t>Dự án: NAVY Hanoi</t>
  </si>
  <si>
    <t>NỘI DUNG</t>
  </si>
  <si>
    <t>HÌNH ẢNH</t>
  </si>
  <si>
    <t>YÊU CẦU BỔ SUNG THÔNG TIN</t>
  </si>
  <si>
    <t>TRẢ LỜI/ PHÊ DUYỆT THIẾT KẾ</t>
  </si>
  <si>
    <t>YÊU CẦU CUNG CẤP/ BỔ SUNG THÔNG TIN</t>
  </si>
  <si>
    <t>Đề nghị bổ sung thông tin</t>
  </si>
  <si>
    <r>
      <t xml:space="preserve">Định vị bulong neo cột SC1 trục </t>
    </r>
    <r>
      <rPr>
        <b/>
        <sz val="12"/>
        <color rgb="FFFF0000"/>
        <rFont val="Times New Roman"/>
        <family val="1"/>
      </rPr>
      <t>4/A</t>
    </r>
    <r>
      <rPr>
        <sz val="12"/>
        <color theme="1"/>
        <rFont val="Times New Roman"/>
        <family val="1"/>
      </rPr>
      <t xml:space="preserve"> khác mặt bằng chân cột.</t>
    </r>
  </si>
  <si>
    <t>Dim định vị cột không khớp với vị trí cột</t>
  </si>
  <si>
    <t>Chi tiết chân cột không khớp tiết diện cột</t>
  </si>
  <si>
    <t>Đề nghị bổ sung chi tiết liên kết nối dầm</t>
  </si>
  <si>
    <t>Chưa có mặt cắt khung (qua 3 loại mái)</t>
  </si>
  <si>
    <t>Đề nghị cung cấp</t>
  </si>
  <si>
    <t>Đề nghị bổ sung mặt cắt vị trí này</t>
  </si>
  <si>
    <t>Vị trí cột và dầm mặt cắt 1-1 Không khớp với mặt bằng cột tầng 1; mặt bằng cột tầng 2 và dầm mái 1</t>
  </si>
  <si>
    <t>12/05/2026</t>
  </si>
  <si>
    <t>Pending</t>
  </si>
  <si>
    <t>MẶT BẰNG MÁI
A-1002</t>
  </si>
  <si>
    <t>Mái 1 trục 3-4 không đúng độ dốc mái.</t>
  </si>
  <si>
    <t>Đề nghị kiểm tra và bổ sung mặt cắt vị trí này</t>
  </si>
  <si>
    <t>13/05/2026</t>
  </si>
  <si>
    <t>Bộ Phận: Thiết kế</t>
  </si>
  <si>
    <t>Ngày: 13/05/2026</t>
  </si>
  <si>
    <t>Bản vẽ chi tiết chân cột và chi tiết liên kết chưa có chỉ định chiều dày bản mã đế cột, gân.</t>
  </si>
  <si>
    <t>MẶT BẰNG ĐỊNH VỊ BULONG CHỜ CỘT
(File đính kèm trang 17)</t>
  </si>
  <si>
    <t>MẶT BẰNG ĐỊNH VỊ BULONG CHỜ CỘT/ 
MẶT BẰNG ĐỊNH VỊ CỘT TẦNG 1/ 
(File đính kèm trang 17, 18)</t>
  </si>
  <si>
    <t>Các dầm dài không có chi tiết nối. Không phù hợp cho gia công/ vận chuyển/ lắp dựng</t>
  </si>
  <si>
    <t>MẶT BẰNG KẾT CẤU MÁI 1
(File đính kèm trang 19)</t>
  </si>
  <si>
    <t>Dầm SB4 và SD1 va chạm</t>
  </si>
  <si>
    <t>Đề nghị kiểm tra/ điều chỉnh</t>
  </si>
  <si>
    <t>CHI TIẾT MẶT CẮT CANOPY
(File đính kèm trang 24)</t>
  </si>
  <si>
    <t>Chi tiết dầm SB1A (trục 4-1400) bị chênh cao độ (do mặt bằng kiến trúc mái không đúng độ dốc)</t>
  </si>
  <si>
    <t>MẶT BẰNG KẾT CẤU MÁI 2
((File đính kèm trang 24)</t>
  </si>
  <si>
    <t xml:space="preserve">Cao độ dầm và độ dốc dầm không khớp với kiến trúc (Mái hồi không đồng phẳng) </t>
  </si>
  <si>
    <t>Trạng thái</t>
  </si>
  <si>
    <t>Ngày ghi nhận</t>
  </si>
  <si>
    <t>Liên kết không phù hợp
kích thước tổng (3 phương) cấu kiện lớn không phù hợp gia công/ chế tạo/ lắp dựng</t>
  </si>
  <si>
    <t>CHI TIẾT LIÊN KẾT 10
(File đính kèm trang 19)</t>
  </si>
  <si>
    <t>Chiều dày bản mã dày 25mm, chiều dày gân tăng cứng dày 10mm</t>
  </si>
  <si>
    <t>Định vị cột điều chỉnh theo bản vẽ phần thân</t>
  </si>
  <si>
    <t>Dim lỗi, Nt xác định vị trí theo bản vẽ, nt điều chỉnh lại dim ở bản vẽ shop</t>
  </si>
  <si>
    <t>Vị trí cột đó là sc4
H450x200 đã khớp bản vẽ, nt điều chỉnh lại dim</t>
  </si>
  <si>
    <t xml:space="preserve">Các dầm dài bị ngắt tại nút cột, NT xem chi tiết </t>
  </si>
  <si>
    <t>NT Xem kết hợp bản vẽ kiến trúc</t>
  </si>
  <si>
    <t xml:space="preserve">Vị trí này là dầm chéo. </t>
  </si>
  <si>
    <t>THEO BẢN VẼ MB, NT ĐIỀU CHỈNH LẠI MC Ở BẢN VẼ SHOP</t>
  </si>
  <si>
    <t>ĐỀ NGHỊ NT CHỈ RÕ HƠN</t>
  </si>
  <si>
    <t>Bản vẽ kiến trúc sai mặt bằng độ dốc mái; đã điều chỉnh theo kết cấu</t>
  </si>
  <si>
    <t xml:space="preserve">Dầm SB4 có thể hạ xuống 1 chút đảm bảo sd1 đặt lên </t>
  </si>
  <si>
    <t>NT XEM PHẢN HỒI TẠI BẢN VẼ ĐI KÈM, TRANG 24</t>
  </si>
  <si>
    <t>NÚT LIÊN KẾT NÀY HÀN NHÀ MÁY, ĐẨY PHẦN NỐI RA CÁC DẦM  XUNG QUANH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</si>
</sst>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1010000]d/m/yy;@"/>
    <numFmt numFmtId="165" formatCode="0.0"/>
    <numFmt numFmtId="166" formatCode="_(* #,##0_);_(* \(#,##0\);_(* &quot;-&quot;??_);_(@_)"/>
  </numFmts>
  <fonts count="53">
    <font>
      <sz val="11"/>
      <color theme="1"/>
      <name val="Calibri"/>
      <family val="2"/>
      <scheme val="minor"/>
    </font>
    <font>
      <sz val="11"/>
      <name val="ＭＳ Ｐゴシック"/>
      <family val="3"/>
      <charset val="128"/>
    </font>
    <font>
      <sz val="11"/>
      <color theme="1"/>
      <name val="Calibri"/>
      <family val="2"/>
      <scheme val="minor"/>
    </font>
    <font>
      <b/>
      <sz val="12"/>
      <color theme="1"/>
      <name val="Tahoma"/>
      <family val="2"/>
    </font>
    <font>
      <sz val="12"/>
      <color theme="1"/>
      <name val="Tahoma"/>
      <family val="2"/>
    </font>
    <font>
      <sz val="12"/>
      <name val="Tahoma"/>
      <family val="2"/>
    </font>
    <font>
      <b/>
      <sz val="12"/>
      <name val="Tahoma"/>
      <family val="2"/>
    </font>
    <font>
      <sz val="12"/>
      <color rgb="FFFF0000"/>
      <name val="Tahoma"/>
      <family val="2"/>
    </font>
    <font>
      <sz val="48"/>
      <color rgb="FF0070C0"/>
      <name val="Tahoma"/>
      <family val="2"/>
    </font>
    <font>
      <b/>
      <sz val="12"/>
      <color theme="0"/>
      <name val="Tahoma"/>
      <family val="2"/>
    </font>
    <font>
      <b/>
      <sz val="18"/>
      <color theme="1"/>
      <name val="Tahoma"/>
      <family val="2"/>
    </font>
    <font>
      <b/>
      <sz val="12"/>
      <color rgb="FFFF0000"/>
      <name val="Tahoma"/>
      <family val="2"/>
    </font>
    <font>
      <b/>
      <sz val="12"/>
      <color theme="1"/>
      <name val="Tahoma"/>
      <family val="2"/>
      <charset val="163"/>
    </font>
    <font>
      <sz val="12"/>
      <color rgb="FFFF0000"/>
      <name val="Tahoma"/>
      <family val="2"/>
      <charset val="163"/>
    </font>
    <font>
      <sz val="16"/>
      <color rgb="FFFF0000"/>
      <name val="Tahoma"/>
      <family val="2"/>
    </font>
    <font>
      <sz val="26"/>
      <color rgb="FFFF0000"/>
      <name val="Tahoma"/>
      <family val="2"/>
    </font>
    <font>
      <i/>
      <sz val="12"/>
      <color theme="1"/>
      <name val="Tahoma"/>
      <family val="2"/>
    </font>
    <font>
      <i/>
      <sz val="12"/>
      <name val="Tahoma"/>
      <family val="2"/>
    </font>
    <font>
      <sz val="28"/>
      <name val="Calibri"/>
      <family val="2"/>
    </font>
    <font>
      <i/>
      <sz val="12"/>
      <color rgb="FFFF0000"/>
      <name val="Tahoma"/>
      <family val="2"/>
    </font>
    <font>
      <sz val="11"/>
      <color theme="1"/>
      <name val="Tahoma"/>
      <family val="2"/>
    </font>
    <font>
      <b/>
      <sz val="11"/>
      <color theme="1"/>
      <name val="Tahoma"/>
      <family val="2"/>
    </font>
    <font>
      <sz val="11"/>
      <color rgb="FFFF0000"/>
      <name val="Tahoma"/>
      <family val="2"/>
    </font>
    <font>
      <sz val="11"/>
      <name val="Tahoma"/>
      <family val="2"/>
    </font>
    <font>
      <sz val="18"/>
      <color theme="1"/>
      <name val="Tahoma"/>
      <family val="2"/>
    </font>
    <font>
      <b/>
      <i/>
      <sz val="12"/>
      <color rgb="FFFF0000"/>
      <name val="Tahoma"/>
      <family val="2"/>
    </font>
    <font>
      <sz val="16"/>
      <color theme="1"/>
      <name val="Tahoma"/>
      <family val="2"/>
    </font>
    <font>
      <sz val="11"/>
      <color rgb="FFFF0000"/>
      <name val="Calibri"/>
      <family val="2"/>
      <scheme val="minor"/>
    </font>
    <font>
      <sz val="9"/>
      <color indexed="81"/>
      <name val="Tahoma"/>
      <family val="2"/>
    </font>
    <font>
      <b/>
      <sz val="9"/>
      <color indexed="81"/>
      <name val="Tahoma"/>
      <family val="2"/>
    </font>
    <font>
      <b/>
      <sz val="12"/>
      <color rgb="FF00B050"/>
      <name val="Tahoma"/>
      <family val="2"/>
    </font>
    <font>
      <b/>
      <sz val="11"/>
      <color theme="1"/>
      <name val="Arial"/>
      <family val="2"/>
    </font>
    <font>
      <sz val="11"/>
      <color theme="1"/>
      <name val="Arial"/>
      <family val="2"/>
    </font>
    <font>
      <b/>
      <sz val="12"/>
      <name val="Arial"/>
      <family val="2"/>
    </font>
    <font>
      <sz val="11"/>
      <color rgb="FF00B050"/>
      <name val="Arial"/>
      <family val="2"/>
    </font>
    <font>
      <sz val="11"/>
      <color rgb="FFFF0000"/>
      <name val="Arial"/>
      <family val="2"/>
    </font>
    <font>
      <sz val="12"/>
      <name val="Arial"/>
      <family val="2"/>
    </font>
    <font>
      <i/>
      <sz val="11"/>
      <color theme="1"/>
      <name val="Arial"/>
      <family val="2"/>
    </font>
    <font>
      <sz val="12"/>
      <color theme="1"/>
      <name val="Arial"/>
      <family val="2"/>
    </font>
    <font>
      <sz val="48"/>
      <color rgb="FF0070C0"/>
      <name val="Times"/>
      <family val="2"/>
    </font>
    <font>
      <b/>
      <sz val="12"/>
      <color theme="1"/>
      <name val="Times"/>
      <family val="2"/>
    </font>
    <font>
      <sz val="12"/>
      <name val="Times"/>
      <family val="2"/>
    </font>
    <font>
      <b/>
      <sz val="12"/>
      <color rgb="FFFF0000"/>
      <name val="Times"/>
      <family val="2"/>
    </font>
    <font>
      <b/>
      <sz val="12"/>
      <color theme="0"/>
      <name val="Times"/>
      <family val="2"/>
    </font>
    <font>
      <sz val="11"/>
      <color theme="1"/>
      <name val="Times"/>
      <family val="2"/>
    </font>
    <font>
      <sz val="12"/>
      <color theme="1"/>
      <name val="Times"/>
      <family val="2"/>
    </font>
    <font>
      <b/>
      <sz val="20"/>
      <color theme="1"/>
      <name val="Times"/>
      <family val="2"/>
    </font>
    <font>
      <b/>
      <sz val="12"/>
      <name val="Times New Roman"/>
      <family val="1"/>
    </font>
    <font>
      <b/>
      <sz val="11"/>
      <name val="Times New Roman"/>
      <family val="1"/>
    </font>
    <font>
      <sz val="12"/>
      <color theme="1"/>
      <name val="Times New Roman"/>
      <family val="1"/>
    </font>
    <font>
      <sz val="11"/>
      <name val="Times New Roman"/>
      <family val="1"/>
    </font>
    <font>
      <sz val="12"/>
      <name val="Times New Roman"/>
      <family val="1"/>
    </font>
    <font>
      <b/>
      <sz val="12"/>
      <color rgb="FFFF0000"/>
      <name val="Times New Roman"/>
      <family val="1"/>
    </font>
  </fonts>
  <fills count="12">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4.9989318521683403E-2"/>
        <bgColor indexed="64"/>
      </patternFill>
    </fill>
    <fill>
      <patternFill patternType="solid">
        <fgColor rgb="FF0070C0"/>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4"/>
        <bgColor indexed="64"/>
      </patternFill>
    </fill>
    <fill>
      <patternFill patternType="solid">
        <fgColor rgb="FFFFFF00"/>
        <bgColor indexed="64"/>
      </patternFill>
    </fill>
    <fill>
      <patternFill patternType="solid">
        <fgColor theme="5" tint="0.79998168889431442"/>
        <bgColor indexed="64"/>
      </patternFill>
    </fill>
    <fill>
      <patternFill patternType="solid">
        <fgColor theme="9" tint="-0.249977111117893"/>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auto="1"/>
      </right>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s>
  <cellStyleXfs count="5">
    <xf numFmtId="0" fontId="0" fillId="0" borderId="0"/>
    <xf numFmtId="0" fontId="1" fillId="0" borderId="0"/>
    <xf numFmtId="0" fontId="2" fillId="0" borderId="0"/>
    <xf numFmtId="9" fontId="2" fillId="0" borderId="0" applyFont="0" applyFill="0" applyBorder="0" applyAlignment="0" applyProtection="0"/>
    <xf numFmtId="43" fontId="2" fillId="0" borderId="0" applyFont="0" applyFill="0" applyBorder="0" applyAlignment="0" applyProtection="0"/>
  </cellStyleXfs>
  <cellXfs count="235">
    <xf numFmtId="0" fontId="0" fillId="0" borderId="0" xfId="0"/>
    <xf numFmtId="0" fontId="4" fillId="0" borderId="0" xfId="1" applyFont="1" applyAlignment="1">
      <alignment horizontal="center" vertical="center" shrinkToFit="1"/>
    </xf>
    <xf numFmtId="0" fontId="5" fillId="0" borderId="2" xfId="2" applyFont="1" applyBorder="1" applyAlignment="1">
      <alignment horizontal="left" vertical="center" wrapText="1"/>
    </xf>
    <xf numFmtId="0" fontId="5" fillId="0" borderId="2" xfId="2" applyFont="1" applyBorder="1" applyAlignment="1" applyProtection="1">
      <alignment horizontal="left" vertical="center" wrapText="1"/>
      <protection locked="0" hidden="1"/>
    </xf>
    <xf numFmtId="0" fontId="5" fillId="0" borderId="2" xfId="2" applyFont="1" applyBorder="1" applyAlignment="1" applyProtection="1">
      <alignment horizontal="center" vertical="center" wrapText="1"/>
      <protection locked="0" hidden="1"/>
    </xf>
    <xf numFmtId="0" fontId="5" fillId="0" borderId="0" xfId="1" applyFont="1"/>
    <xf numFmtId="0" fontId="5" fillId="0" borderId="0" xfId="1" applyFont="1" applyAlignment="1">
      <alignment horizontal="center" vertical="center"/>
    </xf>
    <xf numFmtId="0" fontId="3" fillId="3" borderId="1" xfId="1" applyFont="1" applyFill="1" applyBorder="1" applyAlignment="1">
      <alignment horizontal="left" vertical="center" shrinkToFit="1"/>
    </xf>
    <xf numFmtId="164" fontId="6" fillId="3" borderId="1" xfId="1" applyNumberFormat="1" applyFont="1" applyFill="1" applyBorder="1" applyAlignment="1">
      <alignment horizontal="center" vertical="center"/>
    </xf>
    <xf numFmtId="165" fontId="6" fillId="3" borderId="1" xfId="1" applyNumberFormat="1" applyFont="1" applyFill="1" applyBorder="1" applyAlignment="1">
      <alignment horizontal="center" vertical="center"/>
    </xf>
    <xf numFmtId="0" fontId="3" fillId="0" borderId="2" xfId="1" applyFont="1" applyBorder="1" applyAlignment="1">
      <alignment horizontal="center" vertical="center"/>
    </xf>
    <xf numFmtId="9" fontId="4" fillId="0" borderId="2" xfId="3" applyFont="1" applyFill="1" applyBorder="1" applyAlignment="1">
      <alignment horizontal="center" vertical="center" shrinkToFit="1"/>
    </xf>
    <xf numFmtId="164" fontId="4" fillId="0" borderId="2" xfId="1" applyNumberFormat="1" applyFont="1" applyBorder="1" applyAlignment="1">
      <alignment horizontal="center" vertical="center" shrinkToFit="1"/>
    </xf>
    <xf numFmtId="0" fontId="7" fillId="0" borderId="2" xfId="1" applyFont="1" applyBorder="1" applyAlignment="1">
      <alignment horizontal="center" vertical="center" shrinkToFit="1"/>
    </xf>
    <xf numFmtId="0" fontId="4" fillId="0" borderId="2" xfId="1" applyFont="1" applyBorder="1" applyAlignment="1">
      <alignment horizontal="left" vertical="center" wrapText="1" shrinkToFit="1"/>
    </xf>
    <xf numFmtId="0" fontId="4" fillId="0" borderId="2" xfId="1" applyFont="1" applyBorder="1" applyAlignment="1">
      <alignment horizontal="center" vertical="center" shrinkToFit="1"/>
    </xf>
    <xf numFmtId="0" fontId="3" fillId="3" borderId="1" xfId="1" applyFont="1" applyFill="1" applyBorder="1" applyAlignment="1">
      <alignment horizontal="center" vertical="center"/>
    </xf>
    <xf numFmtId="0" fontId="4" fillId="3" borderId="1" xfId="1" applyFont="1" applyFill="1" applyBorder="1" applyAlignment="1">
      <alignment horizontal="center" vertical="center" shrinkToFit="1"/>
    </xf>
    <xf numFmtId="0" fontId="4" fillId="0" borderId="0" xfId="1" applyFont="1" applyAlignment="1">
      <alignment horizontal="left"/>
    </xf>
    <xf numFmtId="0" fontId="4" fillId="0" borderId="0" xfId="1" applyFont="1" applyAlignment="1">
      <alignment horizontal="center" vertical="center"/>
    </xf>
    <xf numFmtId="0" fontId="4" fillId="4" borderId="0" xfId="1" applyFont="1" applyFill="1" applyAlignment="1">
      <alignment horizontal="left"/>
    </xf>
    <xf numFmtId="0" fontId="4" fillId="4" borderId="0" xfId="1" applyFont="1" applyFill="1" applyAlignment="1">
      <alignment horizontal="center" vertical="center"/>
    </xf>
    <xf numFmtId="0" fontId="9" fillId="5" borderId="3" xfId="1" applyFont="1" applyFill="1" applyBorder="1" applyAlignment="1">
      <alignment horizontal="center" vertical="center" wrapText="1"/>
    </xf>
    <xf numFmtId="9" fontId="9" fillId="5" borderId="3" xfId="3" applyFont="1" applyFill="1" applyBorder="1" applyAlignment="1">
      <alignment horizontal="center" vertical="center" wrapText="1"/>
    </xf>
    <xf numFmtId="9" fontId="4" fillId="3" borderId="1" xfId="3" applyFont="1" applyFill="1" applyBorder="1" applyAlignment="1">
      <alignment horizontal="center" vertical="center" shrinkToFit="1"/>
    </xf>
    <xf numFmtId="9" fontId="4" fillId="0" borderId="0" xfId="3" applyFont="1" applyFill="1" applyBorder="1" applyAlignment="1">
      <alignment horizontal="center" vertical="center"/>
    </xf>
    <xf numFmtId="9" fontId="4" fillId="0" borderId="0" xfId="3" applyFont="1" applyFill="1" applyAlignment="1">
      <alignment horizontal="center" vertical="center"/>
    </xf>
    <xf numFmtId="9" fontId="4" fillId="4" borderId="0" xfId="3" applyFont="1" applyFill="1" applyAlignment="1">
      <alignment horizontal="center" vertical="center"/>
    </xf>
    <xf numFmtId="0" fontId="6" fillId="2" borderId="5" xfId="1" applyFont="1" applyFill="1" applyBorder="1" applyAlignment="1">
      <alignment horizontal="left" vertical="center"/>
    </xf>
    <xf numFmtId="9" fontId="6" fillId="2" borderId="5" xfId="3" applyFont="1" applyFill="1" applyBorder="1" applyAlignment="1">
      <alignment horizontal="left" vertical="center"/>
    </xf>
    <xf numFmtId="0" fontId="6" fillId="2" borderId="8" xfId="1" applyFont="1" applyFill="1" applyBorder="1" applyAlignment="1">
      <alignment horizontal="left" vertical="center"/>
    </xf>
    <xf numFmtId="9" fontId="6" fillId="2" borderId="8" xfId="3" applyFont="1" applyFill="1" applyBorder="1" applyAlignment="1">
      <alignment horizontal="left" vertical="center"/>
    </xf>
    <xf numFmtId="0" fontId="3" fillId="2" borderId="4" xfId="1" applyFont="1" applyFill="1" applyBorder="1" applyAlignment="1">
      <alignment horizontal="left" vertical="center"/>
    </xf>
    <xf numFmtId="0" fontId="5" fillId="2" borderId="5" xfId="1" applyFont="1" applyFill="1" applyBorder="1" applyAlignment="1">
      <alignment horizontal="left" vertical="center"/>
    </xf>
    <xf numFmtId="0" fontId="5" fillId="2" borderId="6" xfId="1" applyFont="1" applyFill="1" applyBorder="1" applyAlignment="1">
      <alignment horizontal="left" vertical="center"/>
    </xf>
    <xf numFmtId="0" fontId="3" fillId="2" borderId="7" xfId="1" applyFont="1" applyFill="1" applyBorder="1" applyAlignment="1">
      <alignment horizontal="left" vertical="center"/>
    </xf>
    <xf numFmtId="0" fontId="5" fillId="2" borderId="8" xfId="1" applyFont="1" applyFill="1" applyBorder="1" applyAlignment="1">
      <alignment horizontal="left" vertical="center"/>
    </xf>
    <xf numFmtId="0" fontId="5" fillId="2" borderId="9" xfId="1" applyFont="1" applyFill="1" applyBorder="1" applyAlignment="1">
      <alignment horizontal="left" vertical="center"/>
    </xf>
    <xf numFmtId="0" fontId="3" fillId="0" borderId="19" xfId="1" applyFont="1" applyBorder="1" applyAlignment="1">
      <alignment horizontal="center" vertical="center"/>
    </xf>
    <xf numFmtId="0" fontId="5" fillId="0" borderId="19" xfId="2" applyFont="1" applyBorder="1" applyAlignment="1">
      <alignment horizontal="left" vertical="center" wrapText="1"/>
    </xf>
    <xf numFmtId="0" fontId="5" fillId="0" borderId="19" xfId="2" applyFont="1" applyBorder="1" applyAlignment="1">
      <alignment horizontal="center" vertical="center" wrapText="1"/>
    </xf>
    <xf numFmtId="9" fontId="4" fillId="0" borderId="19" xfId="3" applyFont="1" applyFill="1" applyBorder="1" applyAlignment="1">
      <alignment horizontal="center" vertical="center" shrinkToFit="1"/>
    </xf>
    <xf numFmtId="164" fontId="4" fillId="0" borderId="19" xfId="1" applyNumberFormat="1" applyFont="1" applyBorder="1" applyAlignment="1">
      <alignment horizontal="center" vertical="center" shrinkToFit="1"/>
    </xf>
    <xf numFmtId="0" fontId="7" fillId="0" borderId="19" xfId="1" applyFont="1" applyBorder="1" applyAlignment="1">
      <alignment horizontal="center" vertical="center" shrinkToFit="1"/>
    </xf>
    <xf numFmtId="0" fontId="5" fillId="0" borderId="19" xfId="2" applyFont="1" applyBorder="1" applyAlignment="1" applyProtection="1">
      <alignment horizontal="left" vertical="center" wrapText="1"/>
      <protection locked="0" hidden="1"/>
    </xf>
    <xf numFmtId="0" fontId="5" fillId="0" borderId="19" xfId="2" applyFont="1" applyBorder="1" applyAlignment="1" applyProtection="1">
      <alignment horizontal="center" vertical="center" wrapText="1"/>
      <protection locked="0" hidden="1"/>
    </xf>
    <xf numFmtId="0" fontId="5" fillId="0" borderId="19" xfId="1" applyFont="1" applyBorder="1" applyAlignment="1">
      <alignment horizontal="left" vertical="top" shrinkToFit="1"/>
    </xf>
    <xf numFmtId="0" fontId="5" fillId="0" borderId="2" xfId="1" applyFont="1" applyBorder="1" applyAlignment="1">
      <alignment horizontal="left" vertical="top" wrapText="1" shrinkToFit="1"/>
    </xf>
    <xf numFmtId="0" fontId="5" fillId="0" borderId="2" xfId="1" applyFont="1" applyBorder="1" applyAlignment="1">
      <alignment horizontal="left" vertical="top" shrinkToFit="1"/>
    </xf>
    <xf numFmtId="165" fontId="6" fillId="3" borderId="1" xfId="1" applyNumberFormat="1" applyFont="1" applyFill="1" applyBorder="1" applyAlignment="1">
      <alignment horizontal="left" vertical="top"/>
    </xf>
    <xf numFmtId="0" fontId="7" fillId="0" borderId="2" xfId="1" applyFont="1" applyBorder="1" applyAlignment="1">
      <alignment horizontal="left" vertical="center" wrapText="1" shrinkToFit="1"/>
    </xf>
    <xf numFmtId="164" fontId="7" fillId="6" borderId="2" xfId="1" applyNumberFormat="1" applyFont="1" applyFill="1" applyBorder="1" applyAlignment="1">
      <alignment horizontal="center" vertical="center" shrinkToFit="1"/>
    </xf>
    <xf numFmtId="0" fontId="7" fillId="6" borderId="2" xfId="1" applyFont="1" applyFill="1" applyBorder="1" applyAlignment="1">
      <alignment horizontal="left" vertical="center" wrapText="1" shrinkToFit="1"/>
    </xf>
    <xf numFmtId="164" fontId="4" fillId="6" borderId="2" xfId="1" applyNumberFormat="1" applyFont="1" applyFill="1" applyBorder="1" applyAlignment="1">
      <alignment horizontal="center" vertical="center" shrinkToFit="1"/>
    </xf>
    <xf numFmtId="0" fontId="7" fillId="6" borderId="2" xfId="1" applyFont="1" applyFill="1" applyBorder="1" applyAlignment="1">
      <alignment horizontal="center" vertical="center" shrinkToFit="1"/>
    </xf>
    <xf numFmtId="9" fontId="7" fillId="6" borderId="2" xfId="3" applyFont="1" applyFill="1" applyBorder="1" applyAlignment="1">
      <alignment horizontal="center" vertical="center" shrinkToFit="1"/>
    </xf>
    <xf numFmtId="0" fontId="5" fillId="6" borderId="2" xfId="1" applyFont="1" applyFill="1" applyBorder="1" applyAlignment="1">
      <alignment horizontal="left" vertical="top" wrapText="1" shrinkToFit="1"/>
    </xf>
    <xf numFmtId="0" fontId="4" fillId="6" borderId="0" xfId="1" applyFont="1" applyFill="1" applyAlignment="1">
      <alignment horizontal="center" vertical="center" shrinkToFit="1"/>
    </xf>
    <xf numFmtId="0" fontId="13" fillId="6" borderId="2" xfId="1" applyFont="1" applyFill="1" applyBorder="1" applyAlignment="1">
      <alignment horizontal="left" vertical="top" wrapText="1" shrinkToFit="1"/>
    </xf>
    <xf numFmtId="0" fontId="5" fillId="0" borderId="2" xfId="1" applyFont="1" applyBorder="1" applyAlignment="1">
      <alignment horizontal="left" vertical="center" wrapText="1" shrinkToFit="1"/>
    </xf>
    <xf numFmtId="0" fontId="7" fillId="6" borderId="0" xfId="1" applyFont="1" applyFill="1" applyAlignment="1">
      <alignment horizontal="center" vertical="center" shrinkToFit="1"/>
    </xf>
    <xf numFmtId="9" fontId="7" fillId="0" borderId="2" xfId="3" applyFont="1" applyFill="1" applyBorder="1" applyAlignment="1">
      <alignment horizontal="center" vertical="center" shrinkToFit="1"/>
    </xf>
    <xf numFmtId="164" fontId="7" fillId="0" borderId="2" xfId="1" applyNumberFormat="1" applyFont="1" applyBorder="1" applyAlignment="1">
      <alignment horizontal="center" vertical="center" shrinkToFit="1"/>
    </xf>
    <xf numFmtId="0" fontId="13" fillId="0" borderId="2" xfId="1" applyFont="1" applyBorder="1" applyAlignment="1">
      <alignment horizontal="left" vertical="top" wrapText="1" shrinkToFit="1"/>
    </xf>
    <xf numFmtId="164" fontId="3" fillId="6" borderId="2" xfId="1" applyNumberFormat="1" applyFont="1" applyFill="1" applyBorder="1" applyAlignment="1">
      <alignment horizontal="center" vertical="center" shrinkToFit="1"/>
    </xf>
    <xf numFmtId="0" fontId="3" fillId="0" borderId="2" xfId="1" applyFont="1" applyBorder="1" applyAlignment="1">
      <alignment horizontal="left" vertical="center" wrapText="1" shrinkToFit="1"/>
    </xf>
    <xf numFmtId="9" fontId="5" fillId="0" borderId="2" xfId="3" applyFont="1" applyFill="1" applyBorder="1" applyAlignment="1">
      <alignment horizontal="center" vertical="center" shrinkToFit="1"/>
    </xf>
    <xf numFmtId="164" fontId="5" fillId="0" borderId="2" xfId="1" applyNumberFormat="1" applyFont="1" applyBorder="1" applyAlignment="1">
      <alignment horizontal="center" vertical="center" shrinkToFit="1"/>
    </xf>
    <xf numFmtId="0" fontId="5" fillId="0" borderId="2" xfId="1" applyFont="1" applyBorder="1" applyAlignment="1">
      <alignment horizontal="center" vertical="center" shrinkToFit="1"/>
    </xf>
    <xf numFmtId="0" fontId="4" fillId="6" borderId="2" xfId="1" applyFont="1" applyFill="1" applyBorder="1" applyAlignment="1">
      <alignment horizontal="left" vertical="center" wrapText="1" shrinkToFit="1"/>
    </xf>
    <xf numFmtId="0" fontId="4" fillId="6" borderId="2" xfId="1" applyFont="1" applyFill="1" applyBorder="1" applyAlignment="1">
      <alignment horizontal="center" vertical="center" shrinkToFit="1"/>
    </xf>
    <xf numFmtId="9" fontId="4" fillId="6" borderId="2" xfId="3" applyFont="1" applyFill="1" applyBorder="1" applyAlignment="1">
      <alignment horizontal="center" vertical="center" shrinkToFit="1"/>
    </xf>
    <xf numFmtId="164" fontId="14" fillId="6" borderId="2" xfId="1" applyNumberFormat="1" applyFont="1" applyFill="1" applyBorder="1" applyAlignment="1">
      <alignment horizontal="center" vertical="center" shrinkToFit="1"/>
    </xf>
    <xf numFmtId="2" fontId="3" fillId="3" borderId="2" xfId="1" applyNumberFormat="1" applyFont="1" applyFill="1" applyBorder="1" applyAlignment="1">
      <alignment horizontal="center" vertical="center"/>
    </xf>
    <xf numFmtId="0" fontId="3" fillId="3" borderId="2" xfId="1" applyFont="1" applyFill="1" applyBorder="1" applyAlignment="1">
      <alignment horizontal="left" vertical="center" wrapText="1" shrinkToFit="1"/>
    </xf>
    <xf numFmtId="0" fontId="3" fillId="3" borderId="2" xfId="1" applyFont="1" applyFill="1" applyBorder="1" applyAlignment="1">
      <alignment horizontal="center" vertical="center" shrinkToFit="1"/>
    </xf>
    <xf numFmtId="9" fontId="3" fillId="3" borderId="2" xfId="3" applyFont="1" applyFill="1" applyBorder="1" applyAlignment="1">
      <alignment horizontal="center" vertical="center" shrinkToFit="1"/>
    </xf>
    <xf numFmtId="164" fontId="6" fillId="3" borderId="2" xfId="1" applyNumberFormat="1" applyFont="1" applyFill="1" applyBorder="1" applyAlignment="1">
      <alignment horizontal="center" vertical="center"/>
    </xf>
    <xf numFmtId="165" fontId="6" fillId="3" borderId="2" xfId="1" applyNumberFormat="1" applyFont="1" applyFill="1" applyBorder="1" applyAlignment="1">
      <alignment horizontal="center" vertical="center"/>
    </xf>
    <xf numFmtId="0" fontId="11" fillId="0" borderId="7" xfId="1" applyFont="1" applyBorder="1" applyAlignment="1">
      <alignment horizontal="left" vertical="center"/>
    </xf>
    <xf numFmtId="164" fontId="15" fillId="6" borderId="2" xfId="1" applyNumberFormat="1" applyFont="1" applyFill="1" applyBorder="1" applyAlignment="1">
      <alignment horizontal="center" vertical="center" shrinkToFit="1"/>
    </xf>
    <xf numFmtId="0" fontId="5" fillId="6" borderId="2" xfId="1" applyFont="1" applyFill="1" applyBorder="1" applyAlignment="1">
      <alignment horizontal="center" vertical="center" shrinkToFit="1"/>
    </xf>
    <xf numFmtId="0" fontId="7" fillId="0" borderId="2" xfId="1" applyFont="1" applyBorder="1" applyAlignment="1">
      <alignment horizontal="center" vertical="center"/>
    </xf>
    <xf numFmtId="0" fontId="4" fillId="6" borderId="2" xfId="1" applyFont="1" applyFill="1" applyBorder="1" applyAlignment="1">
      <alignment horizontal="center" vertical="center"/>
    </xf>
    <xf numFmtId="0" fontId="4" fillId="0" borderId="2" xfId="1" applyFont="1" applyBorder="1" applyAlignment="1">
      <alignment horizontal="center" vertical="center"/>
    </xf>
    <xf numFmtId="0" fontId="7" fillId="6" borderId="2" xfId="1" applyFont="1" applyFill="1" applyBorder="1" applyAlignment="1">
      <alignment horizontal="center" vertical="center"/>
    </xf>
    <xf numFmtId="164" fontId="15" fillId="0" borderId="2" xfId="1" applyNumberFormat="1" applyFont="1" applyBorder="1" applyAlignment="1">
      <alignment horizontal="center" vertical="center" shrinkToFit="1"/>
    </xf>
    <xf numFmtId="0" fontId="16" fillId="7" borderId="2" xfId="1" applyFont="1" applyFill="1" applyBorder="1" applyAlignment="1">
      <alignment horizontal="center" vertical="center"/>
    </xf>
    <xf numFmtId="0" fontId="16" fillId="7" borderId="2" xfId="1" applyFont="1" applyFill="1" applyBorder="1" applyAlignment="1">
      <alignment horizontal="left" vertical="center" wrapText="1" shrinkToFit="1"/>
    </xf>
    <xf numFmtId="0" fontId="16" fillId="7" borderId="2" xfId="1" applyFont="1" applyFill="1" applyBorder="1" applyAlignment="1">
      <alignment horizontal="center" vertical="center" shrinkToFit="1"/>
    </xf>
    <xf numFmtId="9" fontId="16" fillId="7" borderId="2" xfId="3" applyFont="1" applyFill="1" applyBorder="1" applyAlignment="1">
      <alignment horizontal="center" vertical="center" shrinkToFit="1"/>
    </xf>
    <xf numFmtId="164" fontId="16" fillId="7" borderId="2" xfId="1" applyNumberFormat="1" applyFont="1" applyFill="1" applyBorder="1" applyAlignment="1">
      <alignment horizontal="center" vertical="center" shrinkToFit="1"/>
    </xf>
    <xf numFmtId="0" fontId="17" fillId="7" borderId="2" xfId="1" applyFont="1" applyFill="1" applyBorder="1" applyAlignment="1">
      <alignment horizontal="center" vertical="center" shrinkToFit="1"/>
    </xf>
    <xf numFmtId="0" fontId="17" fillId="7" borderId="2" xfId="1" applyFont="1" applyFill="1" applyBorder="1" applyAlignment="1">
      <alignment horizontal="left" vertical="top" wrapText="1" shrinkToFit="1"/>
    </xf>
    <xf numFmtId="0" fontId="17" fillId="7" borderId="2" xfId="1" applyFont="1" applyFill="1" applyBorder="1" applyAlignment="1">
      <alignment horizontal="left" vertical="center" wrapText="1" shrinkToFit="1"/>
    </xf>
    <xf numFmtId="0" fontId="16" fillId="7" borderId="2" xfId="1" applyFont="1" applyFill="1" applyBorder="1" applyAlignment="1">
      <alignment horizontal="center" vertical="center" wrapText="1" shrinkToFit="1"/>
    </xf>
    <xf numFmtId="0" fontId="3" fillId="0" borderId="4" xfId="1" applyFont="1" applyBorder="1" applyAlignment="1">
      <alignment horizontal="left" vertical="center"/>
    </xf>
    <xf numFmtId="9" fontId="6" fillId="0" borderId="5" xfId="3" applyFont="1" applyFill="1" applyBorder="1" applyAlignment="1">
      <alignment horizontal="left" vertical="center"/>
    </xf>
    <xf numFmtId="0" fontId="6" fillId="0" borderId="5" xfId="1" applyFont="1" applyBorder="1" applyAlignment="1">
      <alignment horizontal="left" vertical="center"/>
    </xf>
    <xf numFmtId="0" fontId="5" fillId="0" borderId="5" xfId="1" applyFont="1" applyBorder="1" applyAlignment="1">
      <alignment horizontal="left" vertical="center"/>
    </xf>
    <xf numFmtId="0" fontId="5" fillId="0" borderId="6" xfId="1" applyFont="1" applyBorder="1" applyAlignment="1">
      <alignment horizontal="left" vertical="center"/>
    </xf>
    <xf numFmtId="0" fontId="3" fillId="0" borderId="7" xfId="1" applyFont="1" applyBorder="1" applyAlignment="1">
      <alignment horizontal="left" vertical="center"/>
    </xf>
    <xf numFmtId="9" fontId="6" fillId="0" borderId="8" xfId="3" applyFont="1" applyFill="1" applyBorder="1" applyAlignment="1">
      <alignment horizontal="left" vertical="center"/>
    </xf>
    <xf numFmtId="0" fontId="6" fillId="0" borderId="8" xfId="1" applyFont="1" applyBorder="1" applyAlignment="1">
      <alignment horizontal="left" vertical="center"/>
    </xf>
    <xf numFmtId="0" fontId="5" fillId="0" borderId="8" xfId="1" applyFont="1" applyBorder="1" applyAlignment="1">
      <alignment horizontal="left" vertical="center"/>
    </xf>
    <xf numFmtId="0" fontId="5" fillId="0" borderId="9" xfId="1" applyFont="1" applyBorder="1" applyAlignment="1">
      <alignment horizontal="left" vertical="center"/>
    </xf>
    <xf numFmtId="0" fontId="3" fillId="0" borderId="1" xfId="1" applyFont="1" applyBorder="1" applyAlignment="1">
      <alignment horizontal="center" vertical="center"/>
    </xf>
    <xf numFmtId="0" fontId="3" fillId="0" borderId="1" xfId="1" applyFont="1" applyBorder="1" applyAlignment="1">
      <alignment horizontal="left" vertical="center" shrinkToFit="1"/>
    </xf>
    <xf numFmtId="0" fontId="4" fillId="0" borderId="1" xfId="1" applyFont="1" applyBorder="1" applyAlignment="1">
      <alignment horizontal="center" vertical="center" shrinkToFit="1"/>
    </xf>
    <xf numFmtId="9" fontId="4" fillId="0" borderId="1" xfId="3" applyFont="1" applyFill="1" applyBorder="1" applyAlignment="1">
      <alignment horizontal="center" vertical="center" shrinkToFit="1"/>
    </xf>
    <xf numFmtId="164" fontId="6" fillId="0" borderId="1" xfId="1" applyNumberFormat="1" applyFont="1" applyBorder="1" applyAlignment="1">
      <alignment horizontal="center" vertical="center"/>
    </xf>
    <xf numFmtId="165" fontId="6" fillId="0" borderId="1" xfId="1" applyNumberFormat="1" applyFont="1" applyBorder="1" applyAlignment="1">
      <alignment horizontal="center" vertical="center"/>
    </xf>
    <xf numFmtId="165" fontId="6" fillId="0" borderId="1" xfId="1" applyNumberFormat="1" applyFont="1" applyBorder="1" applyAlignment="1">
      <alignment horizontal="left" vertical="top"/>
    </xf>
    <xf numFmtId="164" fontId="18" fillId="0" borderId="2" xfId="1" applyNumberFormat="1" applyFont="1" applyBorder="1" applyAlignment="1">
      <alignment horizontal="center" vertical="center" shrinkToFit="1"/>
    </xf>
    <xf numFmtId="0" fontId="19" fillId="7" borderId="2" xfId="1" applyFont="1" applyFill="1" applyBorder="1" applyAlignment="1">
      <alignment horizontal="left" vertical="center" wrapText="1" shrinkToFit="1"/>
    </xf>
    <xf numFmtId="0" fontId="19" fillId="7" borderId="2" xfId="1" applyFont="1" applyFill="1" applyBorder="1" applyAlignment="1">
      <alignment horizontal="left" vertical="top" wrapText="1" shrinkToFit="1"/>
    </xf>
    <xf numFmtId="9" fontId="16" fillId="7" borderId="2" xfId="3" quotePrefix="1" applyFont="1" applyFill="1" applyBorder="1" applyAlignment="1">
      <alignment horizontal="center" vertical="center" shrinkToFit="1"/>
    </xf>
    <xf numFmtId="0" fontId="20" fillId="0" borderId="0" xfId="0" applyFont="1"/>
    <xf numFmtId="0" fontId="21" fillId="8" borderId="1" xfId="0" applyFont="1" applyFill="1" applyBorder="1" applyAlignment="1">
      <alignment horizontal="center" vertical="center"/>
    </xf>
    <xf numFmtId="0" fontId="20" fillId="0" borderId="1" xfId="0" quotePrefix="1" applyFont="1" applyBorder="1" applyAlignment="1">
      <alignment horizontal="left" vertical="top" wrapText="1"/>
    </xf>
    <xf numFmtId="0" fontId="7" fillId="6" borderId="22" xfId="1" applyFont="1" applyFill="1" applyBorder="1" applyAlignment="1">
      <alignment horizontal="center" vertical="center"/>
    </xf>
    <xf numFmtId="0" fontId="7" fillId="6" borderId="22" xfId="1" applyFont="1" applyFill="1" applyBorder="1" applyAlignment="1">
      <alignment horizontal="left" vertical="center" wrapText="1" shrinkToFit="1"/>
    </xf>
    <xf numFmtId="0" fontId="7" fillId="6" borderId="22" xfId="1" applyFont="1" applyFill="1" applyBorder="1" applyAlignment="1">
      <alignment horizontal="center" vertical="center" shrinkToFit="1"/>
    </xf>
    <xf numFmtId="9" fontId="7" fillId="6" borderId="22" xfId="3" applyFont="1" applyFill="1" applyBorder="1" applyAlignment="1">
      <alignment horizontal="center" vertical="center" shrinkToFit="1"/>
    </xf>
    <xf numFmtId="164" fontId="7" fillId="6" borderId="22" xfId="1" applyNumberFormat="1" applyFont="1" applyFill="1" applyBorder="1" applyAlignment="1">
      <alignment horizontal="center" vertical="center" shrinkToFit="1"/>
    </xf>
    <xf numFmtId="164" fontId="14" fillId="6" borderId="22" xfId="1" applyNumberFormat="1" applyFont="1" applyFill="1" applyBorder="1" applyAlignment="1">
      <alignment horizontal="center" vertical="center" shrinkToFit="1"/>
    </xf>
    <xf numFmtId="0" fontId="24" fillId="0" borderId="0" xfId="1" applyFont="1" applyAlignment="1">
      <alignment horizontal="left"/>
    </xf>
    <xf numFmtId="0" fontId="25" fillId="7" borderId="2" xfId="1" applyFont="1" applyFill="1" applyBorder="1" applyAlignment="1">
      <alignment horizontal="left" vertical="center" wrapText="1" shrinkToFit="1"/>
    </xf>
    <xf numFmtId="0" fontId="25" fillId="7" borderId="2" xfId="1" applyFont="1" applyFill="1" applyBorder="1" applyAlignment="1">
      <alignment horizontal="center" vertical="center" shrinkToFit="1"/>
    </xf>
    <xf numFmtId="0" fontId="4" fillId="0" borderId="2" xfId="1" applyFont="1" applyBorder="1" applyAlignment="1">
      <alignment horizontal="left" vertical="top" wrapText="1" shrinkToFit="1"/>
    </xf>
    <xf numFmtId="0" fontId="4" fillId="0" borderId="22" xfId="1" applyFont="1" applyBorder="1" applyAlignment="1">
      <alignment horizontal="left" vertical="center" wrapText="1" shrinkToFit="1"/>
    </xf>
    <xf numFmtId="0" fontId="4" fillId="0" borderId="22" xfId="1" applyFont="1" applyBorder="1" applyAlignment="1">
      <alignment horizontal="center" vertical="center" shrinkToFit="1"/>
    </xf>
    <xf numFmtId="9" fontId="4" fillId="0" borderId="22" xfId="3" applyFont="1" applyFill="1" applyBorder="1" applyAlignment="1">
      <alignment horizontal="center" vertical="center" shrinkToFit="1"/>
    </xf>
    <xf numFmtId="164" fontId="4" fillId="0" borderId="22" xfId="1" applyNumberFormat="1" applyFont="1" applyBorder="1" applyAlignment="1">
      <alignment horizontal="center" vertical="center" shrinkToFit="1"/>
    </xf>
    <xf numFmtId="164" fontId="26" fillId="0" borderId="22" xfId="1" applyNumberFormat="1" applyFont="1" applyBorder="1" applyAlignment="1">
      <alignment horizontal="center" vertical="center" shrinkToFit="1"/>
    </xf>
    <xf numFmtId="14" fontId="5" fillId="0" borderId="0" xfId="1" applyNumberFormat="1" applyFont="1" applyAlignment="1">
      <alignment horizontal="center" vertical="center"/>
    </xf>
    <xf numFmtId="164" fontId="7" fillId="0" borderId="22" xfId="1" applyNumberFormat="1" applyFont="1" applyBorder="1" applyAlignment="1">
      <alignment horizontal="center" vertical="center" shrinkToFit="1"/>
    </xf>
    <xf numFmtId="164" fontId="11" fillId="3" borderId="2" xfId="1" applyNumberFormat="1" applyFont="1" applyFill="1" applyBorder="1" applyAlignment="1">
      <alignment horizontal="center" vertical="center"/>
    </xf>
    <xf numFmtId="0" fontId="4" fillId="0" borderId="22" xfId="1" applyFont="1" applyBorder="1" applyAlignment="1">
      <alignment horizontal="center" vertical="center"/>
    </xf>
    <xf numFmtId="0" fontId="0" fillId="9" borderId="0" xfId="0" applyFill="1"/>
    <xf numFmtId="0" fontId="27" fillId="0" borderId="0" xfId="0" applyFont="1"/>
    <xf numFmtId="0" fontId="6" fillId="2" borderId="5" xfId="1" applyFont="1" applyFill="1" applyBorder="1" applyAlignment="1">
      <alignment horizontal="left" vertical="center" wrapText="1"/>
    </xf>
    <xf numFmtId="0" fontId="6" fillId="2" borderId="8" xfId="1" applyFont="1" applyFill="1" applyBorder="1" applyAlignment="1">
      <alignment horizontal="left" vertical="center" wrapText="1"/>
    </xf>
    <xf numFmtId="164" fontId="4" fillId="0" borderId="2" xfId="1" applyNumberFormat="1" applyFont="1" applyBorder="1" applyAlignment="1">
      <alignment horizontal="center" vertical="center" wrapText="1" shrinkToFit="1"/>
    </xf>
    <xf numFmtId="164" fontId="26" fillId="0" borderId="22" xfId="1" applyNumberFormat="1" applyFont="1" applyBorder="1" applyAlignment="1">
      <alignment horizontal="center" vertical="center" wrapText="1" shrinkToFit="1"/>
    </xf>
    <xf numFmtId="164" fontId="5" fillId="0" borderId="2" xfId="1" applyNumberFormat="1" applyFont="1" applyBorder="1" applyAlignment="1">
      <alignment horizontal="center" vertical="center" wrapText="1" shrinkToFit="1"/>
    </xf>
    <xf numFmtId="164" fontId="16" fillId="7" borderId="2" xfId="1" applyNumberFormat="1" applyFont="1" applyFill="1" applyBorder="1" applyAlignment="1">
      <alignment horizontal="center" vertical="center" wrapText="1" shrinkToFit="1"/>
    </xf>
    <xf numFmtId="0" fontId="0" fillId="0" borderId="0" xfId="0" applyAlignment="1">
      <alignment wrapText="1"/>
    </xf>
    <xf numFmtId="164" fontId="30" fillId="3" borderId="2" xfId="1" applyNumberFormat="1" applyFont="1" applyFill="1" applyBorder="1" applyAlignment="1">
      <alignment horizontal="center" vertical="center" wrapText="1"/>
    </xf>
    <xf numFmtId="0" fontId="4" fillId="0" borderId="0" xfId="1" applyFont="1" applyAlignment="1">
      <alignment horizontal="right" vertical="center" shrinkToFit="1"/>
    </xf>
    <xf numFmtId="0" fontId="5" fillId="0" borderId="0" xfId="1" applyFont="1" applyAlignment="1">
      <alignment horizontal="right"/>
    </xf>
    <xf numFmtId="0" fontId="6" fillId="2" borderId="6" xfId="1" applyFont="1" applyFill="1" applyBorder="1" applyAlignment="1">
      <alignment horizontal="left" vertical="center"/>
    </xf>
    <xf numFmtId="0" fontId="6" fillId="2" borderId="9" xfId="1" applyFont="1" applyFill="1" applyBorder="1" applyAlignment="1">
      <alignment horizontal="left" vertical="center"/>
    </xf>
    <xf numFmtId="0" fontId="32" fillId="0" borderId="3" xfId="0" applyFont="1" applyBorder="1" applyAlignment="1">
      <alignment horizontal="center" vertical="center" wrapText="1"/>
    </xf>
    <xf numFmtId="165" fontId="33" fillId="0" borderId="20" xfId="1" applyNumberFormat="1" applyFont="1" applyBorder="1" applyAlignment="1">
      <alignment horizontal="center" vertical="center"/>
    </xf>
    <xf numFmtId="165" fontId="33" fillId="0" borderId="1" xfId="1" applyNumberFormat="1" applyFont="1" applyBorder="1" applyAlignment="1">
      <alignment horizontal="center" vertical="center"/>
    </xf>
    <xf numFmtId="0" fontId="32" fillId="0" borderId="3" xfId="0" quotePrefix="1" applyFont="1" applyBorder="1" applyAlignment="1">
      <alignment horizontal="center" vertical="center" wrapText="1"/>
    </xf>
    <xf numFmtId="0" fontId="34" fillId="0" borderId="3" xfId="0" applyFont="1" applyBorder="1" applyAlignment="1">
      <alignment horizontal="center" vertical="center" wrapText="1"/>
    </xf>
    <xf numFmtId="0" fontId="35" fillId="0" borderId="3" xfId="0" applyFont="1" applyBorder="1" applyAlignment="1">
      <alignment horizontal="center" vertical="center" wrapText="1"/>
    </xf>
    <xf numFmtId="0" fontId="31" fillId="0" borderId="1" xfId="0" applyFont="1" applyBorder="1" applyAlignment="1">
      <alignment horizontal="left" vertical="center" wrapText="1"/>
    </xf>
    <xf numFmtId="166" fontId="38" fillId="0" borderId="20" xfId="4" applyNumberFormat="1" applyFont="1" applyFill="1" applyBorder="1" applyAlignment="1">
      <alignment vertical="center"/>
    </xf>
    <xf numFmtId="166" fontId="38" fillId="0" borderId="1" xfId="4" applyNumberFormat="1" applyFont="1" applyFill="1" applyBorder="1" applyAlignment="1">
      <alignment vertical="center"/>
    </xf>
    <xf numFmtId="165" fontId="33" fillId="0" borderId="3" xfId="1" applyNumberFormat="1" applyFont="1" applyBorder="1" applyAlignment="1">
      <alignment horizontal="center" vertical="center"/>
    </xf>
    <xf numFmtId="166" fontId="38" fillId="0" borderId="3" xfId="4" applyNumberFormat="1" applyFont="1" applyFill="1" applyBorder="1" applyAlignment="1">
      <alignment vertical="center"/>
    </xf>
    <xf numFmtId="0" fontId="37" fillId="0" borderId="3" xfId="0" applyFont="1" applyBorder="1" applyAlignment="1">
      <alignment horizontal="left" vertical="center" wrapText="1" indent="1"/>
    </xf>
    <xf numFmtId="166" fontId="38" fillId="0" borderId="23" xfId="4" applyNumberFormat="1" applyFont="1" applyFill="1" applyBorder="1" applyAlignment="1">
      <alignment vertical="center"/>
    </xf>
    <xf numFmtId="0" fontId="31" fillId="0" borderId="23" xfId="0" applyFont="1" applyBorder="1" applyAlignment="1">
      <alignment horizontal="left" vertical="center" wrapText="1"/>
    </xf>
    <xf numFmtId="0" fontId="32" fillId="0" borderId="21" xfId="0" applyFont="1" applyBorder="1" applyAlignment="1">
      <alignment horizontal="center" vertical="center" wrapText="1"/>
    </xf>
    <xf numFmtId="165" fontId="33" fillId="0" borderId="21" xfId="1" applyNumberFormat="1" applyFont="1" applyBorder="1" applyAlignment="1">
      <alignment horizontal="center" vertical="center"/>
    </xf>
    <xf numFmtId="166" fontId="38" fillId="0" borderId="2" xfId="4" applyNumberFormat="1" applyFont="1" applyFill="1" applyBorder="1" applyAlignment="1">
      <alignment vertical="center"/>
    </xf>
    <xf numFmtId="0" fontId="37" fillId="0" borderId="2" xfId="0" applyFont="1" applyBorder="1" applyAlignment="1">
      <alignment horizontal="left" vertical="center" wrapText="1" indent="1"/>
    </xf>
    <xf numFmtId="0" fontId="35" fillId="0" borderId="2" xfId="0" applyFont="1" applyBorder="1" applyAlignment="1">
      <alignment horizontal="center" vertical="center" wrapText="1"/>
    </xf>
    <xf numFmtId="165" fontId="36" fillId="0" borderId="3" xfId="1" applyNumberFormat="1" applyFont="1" applyBorder="1" applyAlignment="1">
      <alignment horizontal="center" vertical="center"/>
    </xf>
    <xf numFmtId="0" fontId="32" fillId="0" borderId="23" xfId="0" applyFont="1" applyBorder="1" applyAlignment="1">
      <alignment horizontal="left" vertical="center" wrapText="1"/>
    </xf>
    <xf numFmtId="0" fontId="35" fillId="0" borderId="21" xfId="0" applyFont="1" applyBorder="1" applyAlignment="1">
      <alignment horizontal="center" vertical="center" wrapText="1"/>
    </xf>
    <xf numFmtId="165" fontId="36" fillId="0" borderId="23" xfId="1" applyNumberFormat="1" applyFont="1" applyBorder="1" applyAlignment="1">
      <alignment horizontal="center" vertical="center"/>
    </xf>
    <xf numFmtId="0" fontId="32" fillId="0" borderId="1" xfId="0" quotePrefix="1" applyFont="1" applyBorder="1" applyAlignment="1">
      <alignment horizontal="center" vertical="center" wrapText="1"/>
    </xf>
    <xf numFmtId="0" fontId="35" fillId="0" borderId="1" xfId="0" applyFont="1" applyBorder="1" applyAlignment="1">
      <alignment horizontal="center" vertical="center" wrapText="1"/>
    </xf>
    <xf numFmtId="0" fontId="32" fillId="0" borderId="2" xfId="0" quotePrefix="1" applyFont="1" applyBorder="1" applyAlignment="1">
      <alignment horizontal="center" vertical="center" wrapText="1"/>
    </xf>
    <xf numFmtId="14" fontId="11" fillId="2" borderId="9" xfId="1" applyNumberFormat="1" applyFont="1" applyFill="1" applyBorder="1" applyAlignment="1">
      <alignment horizontal="left" vertical="center"/>
    </xf>
    <xf numFmtId="0" fontId="41" fillId="0" borderId="0" xfId="1" applyFont="1"/>
    <xf numFmtId="9" fontId="43" fillId="5" borderId="3" xfId="3" applyFont="1" applyFill="1" applyBorder="1" applyAlignment="1">
      <alignment horizontal="center" vertical="center" wrapText="1"/>
    </xf>
    <xf numFmtId="0" fontId="41" fillId="0" borderId="0" xfId="1" applyFont="1" applyAlignment="1">
      <alignment horizontal="center" vertical="center"/>
    </xf>
    <xf numFmtId="0" fontId="45" fillId="0" borderId="0" xfId="1" applyFont="1" applyAlignment="1">
      <alignment horizontal="center" vertical="center" shrinkToFit="1"/>
    </xf>
    <xf numFmtId="0" fontId="44" fillId="0" borderId="0" xfId="0" applyFont="1"/>
    <xf numFmtId="0" fontId="49" fillId="0" borderId="27" xfId="0" applyFont="1" applyBorder="1" applyAlignment="1">
      <alignment horizontal="left" vertical="center" wrapText="1"/>
    </xf>
    <xf numFmtId="0" fontId="51" fillId="2" borderId="27" xfId="1" quotePrefix="1" applyFont="1" applyFill="1" applyBorder="1" applyAlignment="1">
      <alignment horizontal="center" vertical="center" wrapText="1" shrinkToFit="1"/>
    </xf>
    <xf numFmtId="0" fontId="48" fillId="0" borderId="28" xfId="0" quotePrefix="1" applyFont="1" applyBorder="1" applyAlignment="1">
      <alignment horizontal="center" vertical="center" wrapText="1"/>
    </xf>
    <xf numFmtId="0" fontId="47" fillId="0" borderId="27" xfId="4" applyNumberFormat="1" applyFont="1" applyFill="1" applyBorder="1" applyAlignment="1">
      <alignment horizontal="center" vertical="center"/>
    </xf>
    <xf numFmtId="0" fontId="48" fillId="0" borderId="27" xfId="0" quotePrefix="1" applyFont="1" applyBorder="1" applyAlignment="1">
      <alignment horizontal="center" vertical="center" wrapText="1"/>
    </xf>
    <xf numFmtId="0" fontId="47" fillId="0" borderId="28" xfId="4" applyNumberFormat="1" applyFont="1" applyFill="1" applyBorder="1" applyAlignment="1">
      <alignment horizontal="center" vertical="center"/>
    </xf>
    <xf numFmtId="0" fontId="48" fillId="10" borderId="28" xfId="0" quotePrefix="1" applyFont="1" applyFill="1" applyBorder="1" applyAlignment="1">
      <alignment horizontal="left" vertical="center" wrapText="1"/>
    </xf>
    <xf numFmtId="0" fontId="51" fillId="10" borderId="28" xfId="1" quotePrefix="1" applyFont="1" applyFill="1" applyBorder="1" applyAlignment="1">
      <alignment horizontal="center" vertical="center" wrapText="1" shrinkToFit="1"/>
    </xf>
    <xf numFmtId="9" fontId="43" fillId="11" borderId="3" xfId="3" applyFont="1" applyFill="1" applyBorder="1" applyAlignment="1">
      <alignment horizontal="center" vertical="center" wrapText="1"/>
    </xf>
    <xf numFmtId="0" fontId="43" fillId="5" borderId="27" xfId="1" applyFont="1" applyFill="1" applyBorder="1" applyAlignment="1">
      <alignment horizontal="center" vertical="center" wrapText="1"/>
    </xf>
    <xf numFmtId="0" fontId="43" fillId="5" borderId="28" xfId="1" applyFont="1" applyFill="1" applyBorder="1" applyAlignment="1">
      <alignment horizontal="center" vertical="center" wrapText="1"/>
    </xf>
    <xf numFmtId="0" fontId="8" fillId="2" borderId="15" xfId="1" applyFont="1" applyFill="1" applyBorder="1" applyAlignment="1">
      <alignment horizontal="center" vertical="center"/>
    </xf>
    <xf numFmtId="0" fontId="8" fillId="2" borderId="16" xfId="1" applyFont="1" applyFill="1" applyBorder="1" applyAlignment="1">
      <alignment horizontal="center" vertical="center"/>
    </xf>
    <xf numFmtId="0" fontId="8" fillId="2" borderId="17" xfId="1" applyFont="1" applyFill="1" applyBorder="1" applyAlignment="1">
      <alignment horizontal="center" vertical="center"/>
    </xf>
    <xf numFmtId="0" fontId="8" fillId="2" borderId="18" xfId="1" applyFont="1" applyFill="1" applyBorder="1" applyAlignment="1">
      <alignment horizontal="center" vertical="center"/>
    </xf>
    <xf numFmtId="0" fontId="8" fillId="2" borderId="13" xfId="1" applyFont="1" applyFill="1" applyBorder="1" applyAlignment="1">
      <alignment horizontal="center" vertical="center"/>
    </xf>
    <xf numFmtId="0" fontId="8" fillId="2" borderId="14" xfId="1" applyFont="1" applyFill="1" applyBorder="1" applyAlignment="1">
      <alignment horizontal="center" vertical="center"/>
    </xf>
    <xf numFmtId="0" fontId="10" fillId="0" borderId="10" xfId="1" applyFont="1" applyBorder="1" applyAlignment="1">
      <alignment horizontal="left" vertical="center" wrapText="1"/>
    </xf>
    <xf numFmtId="0" fontId="10" fillId="0" borderId="11" xfId="1" applyFont="1" applyBorder="1" applyAlignment="1">
      <alignment horizontal="left" vertical="center" wrapText="1"/>
    </xf>
    <xf numFmtId="0" fontId="10" fillId="0" borderId="12" xfId="1" applyFont="1" applyBorder="1" applyAlignment="1">
      <alignment horizontal="left" vertical="center" wrapText="1"/>
    </xf>
    <xf numFmtId="0" fontId="17" fillId="7" borderId="20" xfId="1" applyFont="1" applyFill="1" applyBorder="1" applyAlignment="1">
      <alignment horizontal="left" vertical="center" wrapText="1" shrinkToFit="1"/>
    </xf>
    <xf numFmtId="0" fontId="17" fillId="7" borderId="21" xfId="1" applyFont="1" applyFill="1" applyBorder="1" applyAlignment="1">
      <alignment horizontal="left" vertical="center" wrapText="1" shrinkToFit="1"/>
    </xf>
    <xf numFmtId="0" fontId="17" fillId="7" borderId="19" xfId="1" applyFont="1" applyFill="1" applyBorder="1" applyAlignment="1">
      <alignment horizontal="left" vertical="center" wrapText="1" shrinkToFit="1"/>
    </xf>
    <xf numFmtId="0" fontId="50" fillId="0" borderId="27" xfId="0" quotePrefix="1" applyFont="1" applyBorder="1" applyAlignment="1">
      <alignment horizontal="center" vertical="center" wrapText="1"/>
    </xf>
    <xf numFmtId="0" fontId="50" fillId="0" borderId="28" xfId="0" quotePrefix="1" applyFont="1" applyBorder="1" applyAlignment="1">
      <alignment horizontal="center" vertical="center" wrapText="1"/>
    </xf>
    <xf numFmtId="0" fontId="51" fillId="0" borderId="27" xfId="1" applyFont="1" applyBorder="1" applyAlignment="1">
      <alignment horizontal="center" vertical="center" wrapText="1" shrinkToFit="1"/>
    </xf>
    <xf numFmtId="0" fontId="51" fillId="0" borderId="28" xfId="1" applyFont="1" applyBorder="1" applyAlignment="1">
      <alignment horizontal="center" vertical="center" wrapText="1" shrinkToFit="1"/>
    </xf>
    <xf numFmtId="0" fontId="43" fillId="5" borderId="3" xfId="1" applyFont="1" applyFill="1" applyBorder="1" applyAlignment="1">
      <alignment horizontal="center" vertical="center" wrapText="1"/>
    </xf>
    <xf numFmtId="0" fontId="43" fillId="5" borderId="21" xfId="1" applyFont="1" applyFill="1" applyBorder="1" applyAlignment="1">
      <alignment horizontal="center" vertical="center" wrapText="1"/>
    </xf>
    <xf numFmtId="0" fontId="46" fillId="0" borderId="13" xfId="1" applyFont="1" applyBorder="1" applyAlignment="1">
      <alignment horizontal="center" vertical="center"/>
    </xf>
    <xf numFmtId="0" fontId="46" fillId="0" borderId="26" xfId="1" applyFont="1" applyBorder="1" applyAlignment="1">
      <alignment horizontal="center" vertical="center"/>
    </xf>
    <xf numFmtId="0" fontId="46" fillId="0" borderId="14" xfId="1" applyFont="1" applyBorder="1" applyAlignment="1">
      <alignment horizontal="center" vertical="center"/>
    </xf>
    <xf numFmtId="14" fontId="42" fillId="0" borderId="1" xfId="1" quotePrefix="1" applyNumberFormat="1" applyFont="1" applyBorder="1" applyAlignment="1">
      <alignment horizontal="left" vertical="center"/>
    </xf>
    <xf numFmtId="0" fontId="40" fillId="2" borderId="1" xfId="1" applyFont="1" applyFill="1" applyBorder="1" applyAlignment="1">
      <alignment horizontal="left" vertical="center"/>
    </xf>
    <xf numFmtId="0" fontId="39" fillId="2" borderId="15" xfId="1" applyFont="1" applyFill="1" applyBorder="1" applyAlignment="1">
      <alignment horizontal="center" vertical="center"/>
    </xf>
    <xf numFmtId="0" fontId="39" fillId="2" borderId="16" xfId="1" applyFont="1" applyFill="1" applyBorder="1" applyAlignment="1">
      <alignment horizontal="center" vertical="center"/>
    </xf>
    <xf numFmtId="0" fontId="39" fillId="2" borderId="17" xfId="1" applyFont="1" applyFill="1" applyBorder="1" applyAlignment="1">
      <alignment horizontal="center" vertical="center"/>
    </xf>
    <xf numFmtId="0" fontId="39" fillId="2" borderId="18" xfId="1" applyFont="1" applyFill="1" applyBorder="1" applyAlignment="1">
      <alignment horizontal="center" vertical="center"/>
    </xf>
    <xf numFmtId="0" fontId="39" fillId="2" borderId="13" xfId="1" applyFont="1" applyFill="1" applyBorder="1" applyAlignment="1">
      <alignment horizontal="center" vertical="center"/>
    </xf>
    <xf numFmtId="0" fontId="39" fillId="2" borderId="14" xfId="1" applyFont="1" applyFill="1" applyBorder="1" applyAlignment="1">
      <alignment horizontal="center" vertical="center"/>
    </xf>
    <xf numFmtId="9" fontId="43" fillId="5" borderId="24" xfId="3" applyFont="1" applyFill="1" applyBorder="1" applyAlignment="1">
      <alignment horizontal="center" vertical="center" wrapText="1"/>
    </xf>
    <xf numFmtId="9" fontId="43" fillId="5" borderId="25" xfId="3" applyFont="1" applyFill="1" applyBorder="1" applyAlignment="1">
      <alignment horizontal="center" vertical="center" wrapText="1"/>
    </xf>
    <xf numFmtId="0" fontId="43" fillId="11" borderId="24" xfId="1" applyFont="1" applyFill="1" applyBorder="1" applyAlignment="1">
      <alignment horizontal="center" vertical="center" wrapText="1"/>
    </xf>
    <xf numFmtId="0" fontId="43" fillId="11" borderId="25" xfId="1" applyFont="1" applyFill="1" applyBorder="1" applyAlignment="1">
      <alignment horizontal="center" vertical="center" wrapText="1"/>
    </xf>
    <xf numFmtId="0" fontId="8" fillId="0" borderId="15" xfId="1" applyFont="1" applyBorder="1" applyAlignment="1">
      <alignment horizontal="center" vertical="center"/>
    </xf>
    <xf numFmtId="0" fontId="8" fillId="0" borderId="16" xfId="1" applyFont="1" applyBorder="1" applyAlignment="1">
      <alignment horizontal="center" vertical="center"/>
    </xf>
    <xf numFmtId="0" fontId="8" fillId="0" borderId="17" xfId="1" applyFont="1" applyBorder="1" applyAlignment="1">
      <alignment horizontal="center" vertical="center"/>
    </xf>
    <xf numFmtId="0" fontId="8" fillId="0" borderId="18" xfId="1" applyFont="1" applyBorder="1" applyAlignment="1">
      <alignment horizontal="center" vertical="center"/>
    </xf>
    <xf numFmtId="0" fontId="8" fillId="0" borderId="13" xfId="1" applyFont="1" applyBorder="1" applyAlignment="1">
      <alignment horizontal="center" vertical="center"/>
    </xf>
    <xf numFmtId="0" fontId="8" fillId="0" borderId="14" xfId="1" applyFont="1" applyBorder="1" applyAlignment="1">
      <alignment horizontal="center" vertical="center"/>
    </xf>
  </cellXfs>
  <cellStyles count="5">
    <cellStyle name="Comma" xfId="4" builtinId="3"/>
    <cellStyle name="Normal" xfId="0" builtinId="0"/>
    <cellStyle name="Normal 2" xfId="1" xr:uid="{00000000-0005-0000-0000-000002000000}"/>
    <cellStyle name="Normal 2 3" xfId="2" xr:uid="{00000000-0005-0000-0000-000003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externalLink" Target="externalLinks/externalLink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externalLink" Target="externalLinks/externalLink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externalLink" Target="externalLinks/externalLink6.xml"/><Relationship Id="rId20" Type="http://schemas.openxmlformats.org/officeDocument/2006/relationships/externalLink" Target="externalLinks/externalLink1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externalLink" Target="externalLinks/externalLink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16</xdr:col>
      <xdr:colOff>537829</xdr:colOff>
      <xdr:row>6</xdr:row>
      <xdr:rowOff>340179</xdr:rowOff>
    </xdr:from>
    <xdr:to>
      <xdr:col>31</xdr:col>
      <xdr:colOff>97800</xdr:colOff>
      <xdr:row>82</xdr:row>
      <xdr:rowOff>158144</xdr:rowOff>
    </xdr:to>
    <xdr:pic>
      <xdr:nvPicPr>
        <xdr:cNvPr id="2" name="Picture 1">
          <a:extLst>
            <a:ext uri="{FF2B5EF4-FFF2-40B4-BE49-F238E27FC236}">
              <a16:creationId xmlns:a16="http://schemas.microsoft.com/office/drawing/2014/main" id="{ACA819DA-B3AB-49F1-BFC5-37DE8ABB276E}"/>
            </a:ext>
          </a:extLst>
        </xdr:cNvPr>
        <xdr:cNvPicPr>
          <a:picLocks noChangeAspect="1"/>
        </xdr:cNvPicPr>
      </xdr:nvPicPr>
      <xdr:blipFill>
        <a:blip xmlns:r="http://schemas.openxmlformats.org/officeDocument/2006/relationships" r:embed="rId1"/>
        <a:stretch>
          <a:fillRect/>
        </a:stretch>
      </xdr:blipFill>
      <xdr:spPr>
        <a:xfrm>
          <a:off x="22867150" y="2231572"/>
          <a:ext cx="8744792" cy="66351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0</xdr:colOff>
      <xdr:row>7</xdr:row>
      <xdr:rowOff>0</xdr:rowOff>
    </xdr:from>
    <xdr:to>
      <xdr:col>3</xdr:col>
      <xdr:colOff>304800</xdr:colOff>
      <xdr:row>8</xdr:row>
      <xdr:rowOff>2241</xdr:rowOff>
    </xdr:to>
    <xdr:sp macro="" textlink="">
      <xdr:nvSpPr>
        <xdr:cNvPr id="2049" name="AutoShape 1" descr="CÔNG TY CỔ PHẦN SẢN XUẤT CÔNG NGHIỆP AMC">
          <a:extLst>
            <a:ext uri="{FF2B5EF4-FFF2-40B4-BE49-F238E27FC236}">
              <a16:creationId xmlns:a16="http://schemas.microsoft.com/office/drawing/2014/main" id="{CEC6B1A2-7F72-4477-B5CB-A352DB1BCF90}"/>
            </a:ext>
          </a:extLst>
        </xdr:cNvPr>
        <xdr:cNvSpPr>
          <a:spLocks noChangeAspect="1" noChangeArrowheads="1"/>
        </xdr:cNvSpPr>
      </xdr:nvSpPr>
      <xdr:spPr bwMode="auto">
        <a:xfrm>
          <a:off x="6477000" y="321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6</xdr:row>
      <xdr:rowOff>304800</xdr:rowOff>
    </xdr:to>
    <xdr:sp macro="" textlink="">
      <xdr:nvSpPr>
        <xdr:cNvPr id="2050" name="AutoShape 2" descr="CÔNG TY CỔ PHẦN SẢN XUẤT CÔNG NGHIỆP AMC">
          <a:extLst>
            <a:ext uri="{FF2B5EF4-FFF2-40B4-BE49-F238E27FC236}">
              <a16:creationId xmlns:a16="http://schemas.microsoft.com/office/drawing/2014/main" id="{FCC4E0DB-20AA-4984-9CB4-113B718243C5}"/>
            </a:ext>
          </a:extLst>
        </xdr:cNvPr>
        <xdr:cNvSpPr>
          <a:spLocks noChangeAspect="1" noChangeArrowheads="1"/>
        </xdr:cNvSpPr>
      </xdr:nvSpPr>
      <xdr:spPr bwMode="auto">
        <a:xfrm>
          <a:off x="3419475"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2</xdr:col>
      <xdr:colOff>0</xdr:colOff>
      <xdr:row>6</xdr:row>
      <xdr:rowOff>0</xdr:rowOff>
    </xdr:from>
    <xdr:to>
      <xdr:col>2</xdr:col>
      <xdr:colOff>304800</xdr:colOff>
      <xdr:row>6</xdr:row>
      <xdr:rowOff>304800</xdr:rowOff>
    </xdr:to>
    <xdr:sp macro="" textlink="">
      <xdr:nvSpPr>
        <xdr:cNvPr id="2051" name="AutoShape 3" descr="CÔNG TY CỔ PHẦN SẢN XUẤT CÔNG NGHIỆP AMC">
          <a:extLst>
            <a:ext uri="{FF2B5EF4-FFF2-40B4-BE49-F238E27FC236}">
              <a16:creationId xmlns:a16="http://schemas.microsoft.com/office/drawing/2014/main" id="{E998753E-823C-483B-8FCF-95CCA8E6932A}"/>
            </a:ext>
          </a:extLst>
        </xdr:cNvPr>
        <xdr:cNvSpPr>
          <a:spLocks noChangeAspect="1" noChangeArrowheads="1"/>
        </xdr:cNvSpPr>
      </xdr:nvSpPr>
      <xdr:spPr bwMode="auto">
        <a:xfrm>
          <a:off x="3419475" y="1524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12</xdr:col>
      <xdr:colOff>0</xdr:colOff>
      <xdr:row>7</xdr:row>
      <xdr:rowOff>0</xdr:rowOff>
    </xdr:from>
    <xdr:to>
      <xdr:col>12</xdr:col>
      <xdr:colOff>304800</xdr:colOff>
      <xdr:row>8</xdr:row>
      <xdr:rowOff>2241</xdr:rowOff>
    </xdr:to>
    <xdr:sp macro="" textlink="">
      <xdr:nvSpPr>
        <xdr:cNvPr id="2052" name="AutoShape 4" descr="CÔNG TY CỔ PHẦN SẢN XUẤT CÔNG NGHIỆP AMC">
          <a:extLst>
            <a:ext uri="{FF2B5EF4-FFF2-40B4-BE49-F238E27FC236}">
              <a16:creationId xmlns:a16="http://schemas.microsoft.com/office/drawing/2014/main" id="{C5CDAFFC-6CFF-4D60-B6A6-019E187D9E98}"/>
            </a:ext>
          </a:extLst>
        </xdr:cNvPr>
        <xdr:cNvSpPr>
          <a:spLocks noChangeAspect="1" noChangeArrowheads="1"/>
        </xdr:cNvSpPr>
      </xdr:nvSpPr>
      <xdr:spPr bwMode="auto">
        <a:xfrm>
          <a:off x="23641050" y="321945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oneCellAnchor>
    <xdr:from>
      <xdr:col>3</xdr:col>
      <xdr:colOff>0</xdr:colOff>
      <xdr:row>9</xdr:row>
      <xdr:rowOff>0</xdr:rowOff>
    </xdr:from>
    <xdr:ext cx="304800" cy="304800"/>
    <xdr:sp macro="" textlink="">
      <xdr:nvSpPr>
        <xdr:cNvPr id="28" name="AutoShape 1" descr="CÔNG TY CỔ PHẦN SẢN XUẤT CÔNG NGHIỆP AMC">
          <a:extLst>
            <a:ext uri="{FF2B5EF4-FFF2-40B4-BE49-F238E27FC236}">
              <a16:creationId xmlns:a16="http://schemas.microsoft.com/office/drawing/2014/main" id="{711BD8B2-4930-4AAB-8406-181B559EC5E0}"/>
            </a:ext>
          </a:extLst>
        </xdr:cNvPr>
        <xdr:cNvSpPr>
          <a:spLocks noChangeAspect="1" noChangeArrowheads="1"/>
        </xdr:cNvSpPr>
      </xdr:nvSpPr>
      <xdr:spPr bwMode="auto">
        <a:xfrm>
          <a:off x="6477000" y="38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304800"/>
    <xdr:sp macro="" textlink="">
      <xdr:nvSpPr>
        <xdr:cNvPr id="29" name="AutoShape 2" descr="CÔNG TY CỔ PHẦN SẢN XUẤT CÔNG NGHIỆP AMC">
          <a:extLst>
            <a:ext uri="{FF2B5EF4-FFF2-40B4-BE49-F238E27FC236}">
              <a16:creationId xmlns:a16="http://schemas.microsoft.com/office/drawing/2014/main" id="{B8E7A4A1-73B9-4A66-B59D-7324C3D95B7E}"/>
            </a:ext>
          </a:extLst>
        </xdr:cNvPr>
        <xdr:cNvSpPr>
          <a:spLocks noChangeAspect="1" noChangeArrowheads="1"/>
        </xdr:cNvSpPr>
      </xdr:nvSpPr>
      <xdr:spPr bwMode="auto">
        <a:xfrm>
          <a:off x="3417794" y="21179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2</xdr:col>
      <xdr:colOff>0</xdr:colOff>
      <xdr:row>8</xdr:row>
      <xdr:rowOff>0</xdr:rowOff>
    </xdr:from>
    <xdr:ext cx="304800" cy="304800"/>
    <xdr:sp macro="" textlink="">
      <xdr:nvSpPr>
        <xdr:cNvPr id="30" name="AutoShape 3" descr="CÔNG TY CỔ PHẦN SẢN XUẤT CÔNG NGHIỆP AMC">
          <a:extLst>
            <a:ext uri="{FF2B5EF4-FFF2-40B4-BE49-F238E27FC236}">
              <a16:creationId xmlns:a16="http://schemas.microsoft.com/office/drawing/2014/main" id="{476E2AAB-ECE6-492C-A2DF-0987042CA4C2}"/>
            </a:ext>
          </a:extLst>
        </xdr:cNvPr>
        <xdr:cNvSpPr>
          <a:spLocks noChangeAspect="1" noChangeArrowheads="1"/>
        </xdr:cNvSpPr>
      </xdr:nvSpPr>
      <xdr:spPr bwMode="auto">
        <a:xfrm>
          <a:off x="3417794" y="2117912"/>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oneCellAnchor>
    <xdr:from>
      <xdr:col>12</xdr:col>
      <xdr:colOff>0</xdr:colOff>
      <xdr:row>9</xdr:row>
      <xdr:rowOff>0</xdr:rowOff>
    </xdr:from>
    <xdr:ext cx="304800" cy="304800"/>
    <xdr:sp macro="" textlink="">
      <xdr:nvSpPr>
        <xdr:cNvPr id="31" name="AutoShape 4" descr="CÔNG TY CỔ PHẦN SẢN XUẤT CÔNG NGHIỆP AMC">
          <a:extLst>
            <a:ext uri="{FF2B5EF4-FFF2-40B4-BE49-F238E27FC236}">
              <a16:creationId xmlns:a16="http://schemas.microsoft.com/office/drawing/2014/main" id="{8B6158AE-EEDB-4EE8-B283-BB771A540484}"/>
            </a:ext>
          </a:extLst>
        </xdr:cNvPr>
        <xdr:cNvSpPr>
          <a:spLocks noChangeAspect="1" noChangeArrowheads="1"/>
        </xdr:cNvSpPr>
      </xdr:nvSpPr>
      <xdr:spPr bwMode="auto">
        <a:xfrm>
          <a:off x="23622000" y="38100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oneCellAnchor>
  <xdr:twoCellAnchor editAs="oneCell">
    <xdr:from>
      <xdr:col>3</xdr:col>
      <xdr:colOff>291353</xdr:colOff>
      <xdr:row>8</xdr:row>
      <xdr:rowOff>67235</xdr:rowOff>
    </xdr:from>
    <xdr:to>
      <xdr:col>3</xdr:col>
      <xdr:colOff>2084777</xdr:colOff>
      <xdr:row>8</xdr:row>
      <xdr:rowOff>1143000</xdr:rowOff>
    </xdr:to>
    <xdr:pic>
      <xdr:nvPicPr>
        <xdr:cNvPr id="16" name="Picture 15">
          <a:extLst>
            <a:ext uri="{FF2B5EF4-FFF2-40B4-BE49-F238E27FC236}">
              <a16:creationId xmlns:a16="http://schemas.microsoft.com/office/drawing/2014/main" id="{CE392D6D-4877-4141-8980-4C15DFB043AF}"/>
            </a:ext>
          </a:extLst>
        </xdr:cNvPr>
        <xdr:cNvPicPr>
          <a:picLocks noChangeAspect="1"/>
        </xdr:cNvPicPr>
      </xdr:nvPicPr>
      <xdr:blipFill>
        <a:blip xmlns:r="http://schemas.openxmlformats.org/officeDocument/2006/relationships" r:embed="rId1"/>
        <a:stretch>
          <a:fillRect/>
        </a:stretch>
      </xdr:blipFill>
      <xdr:spPr>
        <a:xfrm>
          <a:off x="6768353" y="4179794"/>
          <a:ext cx="1793424" cy="1075765"/>
        </a:xfrm>
        <a:prstGeom prst="rect">
          <a:avLst/>
        </a:prstGeom>
      </xdr:spPr>
    </xdr:pic>
    <xdr:clientData/>
  </xdr:twoCellAnchor>
  <xdr:twoCellAnchor editAs="oneCell">
    <xdr:from>
      <xdr:col>3</xdr:col>
      <xdr:colOff>504264</xdr:colOff>
      <xdr:row>8</xdr:row>
      <xdr:rowOff>1143000</xdr:rowOff>
    </xdr:from>
    <xdr:to>
      <xdr:col>3</xdr:col>
      <xdr:colOff>1580029</xdr:colOff>
      <xdr:row>9</xdr:row>
      <xdr:rowOff>132230</xdr:rowOff>
    </xdr:to>
    <xdr:pic>
      <xdr:nvPicPr>
        <xdr:cNvPr id="17" name="Picture 16">
          <a:extLst>
            <a:ext uri="{FF2B5EF4-FFF2-40B4-BE49-F238E27FC236}">
              <a16:creationId xmlns:a16="http://schemas.microsoft.com/office/drawing/2014/main" id="{CEF6A249-C1F2-4A6D-99BA-B658215838A0}"/>
            </a:ext>
          </a:extLst>
        </xdr:cNvPr>
        <xdr:cNvPicPr>
          <a:picLocks noChangeAspect="1"/>
        </xdr:cNvPicPr>
      </xdr:nvPicPr>
      <xdr:blipFill>
        <a:blip xmlns:r="http://schemas.openxmlformats.org/officeDocument/2006/relationships" r:embed="rId2"/>
        <a:stretch>
          <a:fillRect/>
        </a:stretch>
      </xdr:blipFill>
      <xdr:spPr>
        <a:xfrm>
          <a:off x="6981264" y="5255559"/>
          <a:ext cx="1075765" cy="681318"/>
        </a:xfrm>
        <a:prstGeom prst="rect">
          <a:avLst/>
        </a:prstGeom>
      </xdr:spPr>
    </xdr:pic>
    <xdr:clientData/>
  </xdr:twoCellAnchor>
  <xdr:twoCellAnchor editAs="oneCell">
    <xdr:from>
      <xdr:col>3</xdr:col>
      <xdr:colOff>235323</xdr:colOff>
      <xdr:row>10</xdr:row>
      <xdr:rowOff>414618</xdr:rowOff>
    </xdr:from>
    <xdr:to>
      <xdr:col>3</xdr:col>
      <xdr:colOff>2755323</xdr:colOff>
      <xdr:row>10</xdr:row>
      <xdr:rowOff>1380643</xdr:rowOff>
    </xdr:to>
    <xdr:pic>
      <xdr:nvPicPr>
        <xdr:cNvPr id="18" name="Picture 17">
          <a:extLst>
            <a:ext uri="{FF2B5EF4-FFF2-40B4-BE49-F238E27FC236}">
              <a16:creationId xmlns:a16="http://schemas.microsoft.com/office/drawing/2014/main" id="{9CD4FC11-180B-4CA8-9137-6E40761D65BB}"/>
            </a:ext>
          </a:extLst>
        </xdr:cNvPr>
        <xdr:cNvPicPr>
          <a:picLocks noChangeAspect="1"/>
        </xdr:cNvPicPr>
      </xdr:nvPicPr>
      <xdr:blipFill>
        <a:blip xmlns:r="http://schemas.openxmlformats.org/officeDocument/2006/relationships" r:embed="rId3"/>
        <a:stretch>
          <a:fillRect/>
        </a:stretch>
      </xdr:blipFill>
      <xdr:spPr>
        <a:xfrm>
          <a:off x="6712323" y="6521824"/>
          <a:ext cx="2520000" cy="966025"/>
        </a:xfrm>
        <a:prstGeom prst="rect">
          <a:avLst/>
        </a:prstGeom>
      </xdr:spPr>
    </xdr:pic>
    <xdr:clientData/>
  </xdr:twoCellAnchor>
  <xdr:twoCellAnchor editAs="oneCell">
    <xdr:from>
      <xdr:col>3</xdr:col>
      <xdr:colOff>257735</xdr:colOff>
      <xdr:row>12</xdr:row>
      <xdr:rowOff>481854</xdr:rowOff>
    </xdr:from>
    <xdr:to>
      <xdr:col>3</xdr:col>
      <xdr:colOff>2777735</xdr:colOff>
      <xdr:row>12</xdr:row>
      <xdr:rowOff>1583459</xdr:rowOff>
    </xdr:to>
    <xdr:pic>
      <xdr:nvPicPr>
        <xdr:cNvPr id="27" name="Picture 26">
          <a:extLst>
            <a:ext uri="{FF2B5EF4-FFF2-40B4-BE49-F238E27FC236}">
              <a16:creationId xmlns:a16="http://schemas.microsoft.com/office/drawing/2014/main" id="{C5912D3B-E439-4E34-9647-D8E9A940065D}"/>
            </a:ext>
          </a:extLst>
        </xdr:cNvPr>
        <xdr:cNvPicPr>
          <a:picLocks noChangeAspect="1"/>
        </xdr:cNvPicPr>
      </xdr:nvPicPr>
      <xdr:blipFill>
        <a:blip xmlns:r="http://schemas.openxmlformats.org/officeDocument/2006/relationships" r:embed="rId4"/>
        <a:stretch>
          <a:fillRect/>
        </a:stretch>
      </xdr:blipFill>
      <xdr:spPr>
        <a:xfrm>
          <a:off x="7171764" y="8583707"/>
          <a:ext cx="2520000" cy="1101605"/>
        </a:xfrm>
        <a:prstGeom prst="rect">
          <a:avLst/>
        </a:prstGeom>
      </xdr:spPr>
    </xdr:pic>
    <xdr:clientData/>
  </xdr:twoCellAnchor>
  <xdr:twoCellAnchor editAs="oneCell">
    <xdr:from>
      <xdr:col>3</xdr:col>
      <xdr:colOff>302559</xdr:colOff>
      <xdr:row>18</xdr:row>
      <xdr:rowOff>44825</xdr:rowOff>
    </xdr:from>
    <xdr:to>
      <xdr:col>3</xdr:col>
      <xdr:colOff>2822559</xdr:colOff>
      <xdr:row>19</xdr:row>
      <xdr:rowOff>294934</xdr:rowOff>
    </xdr:to>
    <xdr:pic>
      <xdr:nvPicPr>
        <xdr:cNvPr id="2" name="Picture 1">
          <a:extLst>
            <a:ext uri="{FF2B5EF4-FFF2-40B4-BE49-F238E27FC236}">
              <a16:creationId xmlns:a16="http://schemas.microsoft.com/office/drawing/2014/main" id="{68CB914B-B53B-47A5-BA81-BB4B3D481694}"/>
            </a:ext>
          </a:extLst>
        </xdr:cNvPr>
        <xdr:cNvPicPr>
          <a:picLocks noChangeAspect="1"/>
        </xdr:cNvPicPr>
      </xdr:nvPicPr>
      <xdr:blipFill>
        <a:blip xmlns:r="http://schemas.openxmlformats.org/officeDocument/2006/relationships" r:embed="rId5"/>
        <a:stretch>
          <a:fillRect/>
        </a:stretch>
      </xdr:blipFill>
      <xdr:spPr>
        <a:xfrm>
          <a:off x="6779559" y="14130619"/>
          <a:ext cx="2520000" cy="1942197"/>
        </a:xfrm>
        <a:prstGeom prst="rect">
          <a:avLst/>
        </a:prstGeom>
      </xdr:spPr>
    </xdr:pic>
    <xdr:clientData/>
  </xdr:twoCellAnchor>
  <xdr:twoCellAnchor editAs="oneCell">
    <xdr:from>
      <xdr:col>3</xdr:col>
      <xdr:colOff>526676</xdr:colOff>
      <xdr:row>20</xdr:row>
      <xdr:rowOff>56031</xdr:rowOff>
    </xdr:from>
    <xdr:to>
      <xdr:col>3</xdr:col>
      <xdr:colOff>2686676</xdr:colOff>
      <xdr:row>21</xdr:row>
      <xdr:rowOff>134128</xdr:rowOff>
    </xdr:to>
    <xdr:pic>
      <xdr:nvPicPr>
        <xdr:cNvPr id="4" name="Picture 3">
          <a:extLst>
            <a:ext uri="{FF2B5EF4-FFF2-40B4-BE49-F238E27FC236}">
              <a16:creationId xmlns:a16="http://schemas.microsoft.com/office/drawing/2014/main" id="{CEF0F609-11DC-4C54-9DFC-C99C7EE14D07}"/>
            </a:ext>
          </a:extLst>
        </xdr:cNvPr>
        <xdr:cNvPicPr>
          <a:picLocks noChangeAspect="1"/>
        </xdr:cNvPicPr>
      </xdr:nvPicPr>
      <xdr:blipFill>
        <a:blip xmlns:r="http://schemas.openxmlformats.org/officeDocument/2006/relationships" r:embed="rId6"/>
        <a:stretch>
          <a:fillRect/>
        </a:stretch>
      </xdr:blipFill>
      <xdr:spPr>
        <a:xfrm>
          <a:off x="7440705" y="16136472"/>
          <a:ext cx="2160000" cy="1770185"/>
        </a:xfrm>
        <a:prstGeom prst="rect">
          <a:avLst/>
        </a:prstGeom>
      </xdr:spPr>
    </xdr:pic>
    <xdr:clientData/>
  </xdr:twoCellAnchor>
  <xdr:twoCellAnchor editAs="oneCell">
    <xdr:from>
      <xdr:col>3</xdr:col>
      <xdr:colOff>851648</xdr:colOff>
      <xdr:row>22</xdr:row>
      <xdr:rowOff>67236</xdr:rowOff>
    </xdr:from>
    <xdr:to>
      <xdr:col>3</xdr:col>
      <xdr:colOff>2103228</xdr:colOff>
      <xdr:row>23</xdr:row>
      <xdr:rowOff>175148</xdr:rowOff>
    </xdr:to>
    <xdr:pic>
      <xdr:nvPicPr>
        <xdr:cNvPr id="5" name="Picture 4">
          <a:extLst>
            <a:ext uri="{FF2B5EF4-FFF2-40B4-BE49-F238E27FC236}">
              <a16:creationId xmlns:a16="http://schemas.microsoft.com/office/drawing/2014/main" id="{9B60890B-5D42-42B2-819F-1F99FAE4CD81}"/>
            </a:ext>
          </a:extLst>
        </xdr:cNvPr>
        <xdr:cNvPicPr>
          <a:picLocks noChangeAspect="1"/>
        </xdr:cNvPicPr>
      </xdr:nvPicPr>
      <xdr:blipFill>
        <a:blip xmlns:r="http://schemas.openxmlformats.org/officeDocument/2006/relationships" r:embed="rId7"/>
        <a:stretch>
          <a:fillRect/>
        </a:stretch>
      </xdr:blipFill>
      <xdr:spPr>
        <a:xfrm>
          <a:off x="7765677" y="18142324"/>
          <a:ext cx="1251580" cy="1800000"/>
        </a:xfrm>
        <a:prstGeom prst="rect">
          <a:avLst/>
        </a:prstGeom>
      </xdr:spPr>
    </xdr:pic>
    <xdr:clientData/>
  </xdr:twoCellAnchor>
  <xdr:twoCellAnchor editAs="oneCell">
    <xdr:from>
      <xdr:col>3</xdr:col>
      <xdr:colOff>280147</xdr:colOff>
      <xdr:row>24</xdr:row>
      <xdr:rowOff>156883</xdr:rowOff>
    </xdr:from>
    <xdr:to>
      <xdr:col>3</xdr:col>
      <xdr:colOff>2800147</xdr:colOff>
      <xdr:row>25</xdr:row>
      <xdr:rowOff>96494</xdr:rowOff>
    </xdr:to>
    <xdr:pic>
      <xdr:nvPicPr>
        <xdr:cNvPr id="6" name="Picture 5">
          <a:extLst>
            <a:ext uri="{FF2B5EF4-FFF2-40B4-BE49-F238E27FC236}">
              <a16:creationId xmlns:a16="http://schemas.microsoft.com/office/drawing/2014/main" id="{ED9E0C7D-4A0F-4365-B83A-105ECBF1C93D}"/>
            </a:ext>
          </a:extLst>
        </xdr:cNvPr>
        <xdr:cNvPicPr>
          <a:picLocks noChangeAspect="1"/>
        </xdr:cNvPicPr>
      </xdr:nvPicPr>
      <xdr:blipFill>
        <a:blip xmlns:r="http://schemas.openxmlformats.org/officeDocument/2006/relationships" r:embed="rId8"/>
        <a:stretch>
          <a:fillRect/>
        </a:stretch>
      </xdr:blipFill>
      <xdr:spPr>
        <a:xfrm>
          <a:off x="7194176" y="20226618"/>
          <a:ext cx="2520000" cy="16317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376518</xdr:colOff>
      <xdr:row>0</xdr:row>
      <xdr:rowOff>162710</xdr:rowOff>
    </xdr:from>
    <xdr:to>
      <xdr:col>1</xdr:col>
      <xdr:colOff>1793838</xdr:colOff>
      <xdr:row>3</xdr:row>
      <xdr:rowOff>213360</xdr:rowOff>
    </xdr:to>
    <xdr:pic>
      <xdr:nvPicPr>
        <xdr:cNvPr id="28" name="Picture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1"/>
        <a:stretch>
          <a:fillRect/>
        </a:stretch>
      </xdr:blipFill>
      <xdr:spPr>
        <a:xfrm>
          <a:off x="376518" y="162710"/>
          <a:ext cx="1874520" cy="101077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Sekret\c\Documents%20and%20Settings\&#37428;&#26408;&#12288;&#36948;&#21705;\Local%20Settings\Temporary%20Internet%20Files\Content.IE5\XV65FD25\BOURJOIS\BOURJBQ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A:\Tifico-newoffice,R1.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global.shimz.co.jp/Desktop/&#30528;&#21069;&#26908;&#12398;&#21177;&#29575;&#21270;/20150401/TEMPO/lintec-sumicon.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CHOU.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Mesrv\ME%20Database\A%20Project\VARIOUS-FILE\FORMAT_BQ\AFORM-BQR.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Monofilament%20Renovation-ALT-1%20R1A.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Documents%20and%20Settings\design\Local%20Settings\Temporary%20Internet%20Files\Content.Outlook\JL566DUW\My%20Documents\BQ\Maya%20Ubud\Contract\Main%20building\BQ\MAYA-UBUD-II\BOQ%20MAYA%20UBUD%20-%20MAIN%20BUILDING.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A:\Documents%20and%20Settings\Owner\My%20Documents\~Komori\&#35211;&#31309;\&#35211;&#31309;TOOL\mechanic.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A:\M%20&amp;%20E.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http://be5-mail.eudoramail.lycos.com/datalinda/My%20Documents/GRAMEDIA/BQ-TB-PKB.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arthwork"/>
      <sheetName val="TenderAnaly"/>
      <sheetName val="AppendixA"/>
      <sheetName val="BQ"/>
      <sheetName val="GrossBQ"/>
      <sheetName val="GrossBQ (2)"/>
      <sheetName val="BQ(2)"/>
      <sheetName val="BQ(3)"/>
      <sheetName val="Summary"/>
      <sheetName val="G1"/>
      <sheetName val="FlrArea"/>
      <sheetName val="Analysis"/>
      <sheetName val="Notes"/>
      <sheetName val="Prelims"/>
      <sheetName val="Site Expense"/>
      <sheetName val="Steelwork"/>
      <sheetName val="ExtWalls"/>
      <sheetName val="Founds"/>
      <sheetName val="Slab"/>
      <sheetName val="Retaining Wall"/>
      <sheetName val="Summary Final"/>
      <sheetName val="G1 Final"/>
      <sheetName val="BOURJBQ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ifico"/>
      <sheetName val="tifico[NO]"/>
      <sheetName val="tifico[Ext]"/>
      <sheetName val="Sheet1"/>
      <sheetName val="H-BHN"/>
      <sheetName val="A-BANTU"/>
      <sheetName val="Tifico-newoffice,R1"/>
      <sheetName val="ME-PLUMBING"/>
      <sheetName val="REKAP"/>
      <sheetName val="Material"/>
      <sheetName val="AC"/>
      <sheetName val="BAG-2"/>
      <sheetName val="BQ"/>
      <sheetName val="D &amp; W sizes"/>
      <sheetName val="COVERUSRP"/>
      <sheetName val="SITE"/>
      <sheetName val="ESCOND"/>
      <sheetName val="BQUSRP"/>
      <sheetName val="tifico_NO_"/>
      <sheetName val="tifico_Ext_"/>
      <sheetName val="SEX"/>
      <sheetName val="villa"/>
      <sheetName val="Cover Daf-2"/>
      <sheetName val="Analisa HS"/>
      <sheetName val="Urai _Resap pengikat"/>
      <sheetName val="STAF"/>
      <sheetName val="Elektrikal"/>
      <sheetName val="mat-me pipa"/>
      <sheetName val="DAF_1"/>
      <sheetName val="Isolasi Luar Dalam"/>
      <sheetName val="Isolasi Luar"/>
      <sheetName val="A"/>
      <sheetName val="PEF29_CD(IDR)"/>
      <sheetName val="Currency Rate"/>
      <sheetName val="atap"/>
      <sheetName val="TOWN"/>
      <sheetName val="B _ Norelec"/>
      <sheetName val="Data"/>
      <sheetName val="Group"/>
      <sheetName val="DAF-1"/>
      <sheetName val="escon"/>
      <sheetName val="Pile"/>
      <sheetName val="Piping"/>
      <sheetName val="Elec-ins"/>
      <sheetName val="Temporary"/>
      <sheetName val="HRG BHN"/>
      <sheetName val="Daf 1"/>
      <sheetName val="Notes"/>
      <sheetName val="Rekap Direct Cost"/>
      <sheetName val="Bill No 6 Koord _ Attendance"/>
      <sheetName val="WH-Rev"/>
      <sheetName val="WMS-INT"/>
      <sheetName val="SPM062"/>
      <sheetName val="STR"/>
      <sheetName val="Analisa"/>
      <sheetName val="Slab"/>
      <sheetName val="Master"/>
      <sheetName val="covere"/>
      <sheetName val="Mob"/>
      <sheetName val="D7"/>
      <sheetName val="D_&amp;_W_sizes"/>
      <sheetName val="Urai__Resap_pengikat"/>
      <sheetName val="B___Norelec"/>
      <sheetName val="Cover_Daf-2"/>
      <sheetName val="Analisa_HS"/>
      <sheetName val="Currency_Rate"/>
      <sheetName val="mat-me_pipa"/>
      <sheetName val="Isolasi_Luar_Dalam"/>
      <sheetName val="Isolasi_Luar"/>
      <sheetName val="Rekap_Direct_Cost"/>
      <sheetName val="Bill_No_6_Koord___Attendance"/>
      <sheetName val="HRG_BHN"/>
      <sheetName val="2-Genset print"/>
      <sheetName val="MOW 45%"/>
      <sheetName val="MOS 55%"/>
      <sheetName val="BAG_2"/>
      <sheetName val=" UPAH"/>
      <sheetName val="B - Norelec"/>
      <sheetName val="DAFT_ALAT,UPAH &amp; MAT"/>
      <sheetName val="Harga ME "/>
      <sheetName val="SITE-E"/>
      <sheetName val="H_BHN"/>
      <sheetName val="upah"/>
      <sheetName val="Pipe"/>
      <sheetName val="CONS."/>
      <sheetName val="Duc-3"/>
      <sheetName val="January 2015"/>
      <sheetName val="SAT-BHN"/>
      <sheetName val="Basic Price"/>
      <sheetName val="plumbing"/>
      <sheetName val="負荷集計（断熱不燃）"/>
      <sheetName val="Cover"/>
      <sheetName val="H.Satuan"/>
      <sheetName val="HARGA MATERIAL"/>
      <sheetName val="BQ ARS"/>
      <sheetName val="Steel-Twr"/>
      <sheetName val="DETAIL RAP"/>
      <sheetName val="BQ PENGURANGAN SALURAN"/>
      <sheetName val="Week9-Feb    "/>
      <sheetName val="01A- RAB"/>
      <sheetName val="I-ME"/>
      <sheetName val="SALING"/>
      <sheetName val="UNIT_P"/>
      <sheetName val="F&amp;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T"/>
      <sheetName val="ESCON"/>
      <sheetName val="SUM-PRO (4)"/>
      <sheetName val="SUM-PRO (3)"/>
      <sheetName val="SUM-PRO (2)"/>
      <sheetName val="SUM-PRO"/>
      <sheetName val="SEX (4)"/>
      <sheetName val="SEX (3)"/>
      <sheetName val="SEX (2)"/>
      <sheetName val="SEX"/>
      <sheetName val="scope"/>
      <sheetName val="MAKER"/>
      <sheetName val="PRO-PH3"/>
      <sheetName val="PRO-PH2"/>
      <sheetName val="PRO"/>
      <sheetName val="BQ"/>
      <sheetName val="equipment"/>
      <sheetName val="B - Norelec"/>
      <sheetName val="A"/>
      <sheetName val="AC"/>
      <sheetName val="lintec-sumicon"/>
      <sheetName val="Unit Rate"/>
      <sheetName val="tifico"/>
      <sheetName val="sort2"/>
      <sheetName val="an. struktur"/>
      <sheetName val="harsat"/>
      <sheetName val="Dashboar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7">
          <cell r="P7" t="str">
            <v xml:space="preserve">B U D G E T A R Y </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CON"/>
      <sheetName val="SCOPE"/>
      <sheetName val="MAKER"/>
      <sheetName val="BQ"/>
      <sheetName val="PROFIT"/>
      <sheetName val="SRT"/>
      <sheetName val="SUM-PRO"/>
      <sheetName val="SEX"/>
      <sheetName val="DBP-0200"/>
      <sheetName val="I-ME"/>
      <sheetName val="A"/>
      <sheetName val="MAT'L LLIST"/>
      <sheetName val="Steel-Twr"/>
      <sheetName val="HARGA MATERIAL"/>
      <sheetName val="KH-Q1,Q2,01"/>
      <sheetName val="upah_borong"/>
      <sheetName val="harsat"/>
      <sheetName val="I-KAMAR"/>
      <sheetName val="DAF-1"/>
      <sheetName val="L-Mechanical"/>
      <sheetName val="gvl"/>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rt"/>
      <sheetName val="escon"/>
      <sheetName val="maker"/>
      <sheetName val="scope"/>
      <sheetName val="bq"/>
      <sheetName val="PRO"/>
      <sheetName val="SUMPRO"/>
      <sheetName val="sex"/>
      <sheetName val="dbp-0601"/>
      <sheetName val="GTS I PS"/>
      <sheetName val="RAB"/>
      <sheetName val="BQ AC- SEMANAN"/>
      <sheetName val="AFORM-BQR"/>
      <sheetName val="Currency Rate"/>
      <sheetName val="I-KAMAR"/>
      <sheetName val="I_KAMAR"/>
      <sheetName val="boq"/>
      <sheetName val="BOW"/>
      <sheetName val="GTS_I_PS"/>
      <sheetName val="BQ_AC-_SEMANAN"/>
      <sheetName val="Currency_Rate"/>
      <sheetName val="AC"/>
      <sheetName val="capacity"/>
      <sheetName val="Man power"/>
      <sheetName val="Markup"/>
      <sheetName val="GTS_I_PS1"/>
      <sheetName val="BQ_AC-_SEMANAN1"/>
      <sheetName val="Currency_Rate1"/>
      <sheetName val="BANGUNAN PENUNJANG"/>
      <sheetName val="STR"/>
      <sheetName val="p_luar"/>
      <sheetName val="fin SB"/>
      <sheetName val="FIN PARKIR"/>
      <sheetName val="RINC FIN T4 "/>
      <sheetName val="daffin"/>
      <sheetName val="RINC FIN T4  _3_"/>
      <sheetName val="RINC FIN T4  _2_"/>
      <sheetName val="AHAS1"/>
      <sheetName val="Rekap Addendum"/>
      <sheetName val="LOADDAT"/>
      <sheetName val="Bill.1.VAC-Supply-A"/>
      <sheetName val="Plat"/>
      <sheetName val="Menu"/>
      <sheetName val="Daf Harga"/>
      <sheetName val="Bill"/>
      <sheetName val="Rekap Bill"/>
      <sheetName val="An_ Harga"/>
      <sheetName val="Cash Flow bulanan"/>
      <sheetName val="L-Mechanical"/>
      <sheetName val="GTS_I_PS2"/>
      <sheetName val="BQ_AC-_SEMANAN2"/>
      <sheetName val="Currency_Rate2"/>
      <sheetName val="Man_power"/>
      <sheetName val="HARSAT"/>
      <sheetName val="Rek_SA"/>
      <sheetName val="ES_T_B_C"/>
      <sheetName val="BAG_2"/>
      <sheetName val="Basic Price"/>
      <sheetName val="Agregat Halus _ Kasar"/>
      <sheetName val="Peralatan"/>
      <sheetName val="div 8"/>
      <sheetName val="div 2"/>
      <sheetName val="div 3"/>
      <sheetName val="div 4"/>
      <sheetName val="div 5"/>
      <sheetName val="div 6"/>
      <sheetName val="div 7"/>
      <sheetName val="div 9"/>
      <sheetName val="L4_PemelRutin"/>
      <sheetName val="Rekap Biaya"/>
      <sheetName val="Informasi"/>
      <sheetName val="dasboard"/>
      <sheetName val="AHS_Kusen"/>
      <sheetName val="harsat&amp;upah"/>
      <sheetName val="Listrik"/>
      <sheetName val="Cover"/>
      <sheetName val="Analisa"/>
      <sheetName val="INDEKS"/>
      <sheetName val="JABATAN"/>
      <sheetName val="DATA"/>
      <sheetName val="Z"/>
      <sheetName val="Cash2"/>
      <sheetName val="Harsat Bahan"/>
      <sheetName val="Harsat Upah"/>
      <sheetName val="tifico"/>
      <sheetName val="TOTAL"/>
      <sheetName val="r.tank"/>
      <sheetName val="prelim"/>
      <sheetName val="BQ ARS"/>
      <sheetName val="SAT-BHN"/>
      <sheetName val="A"/>
      <sheetName val="TENAGA"/>
      <sheetName val="Kolom UT"/>
      <sheetName val="Perhit.Alat"/>
      <sheetName val="Urai _Resap pengikat"/>
      <sheetName val="STAF"/>
      <sheetName val="F ALARM"/>
      <sheetName val="Rekapitulasi"/>
      <sheetName val="Rekap RAB_kl"/>
      <sheetName val="RAB_KL"/>
      <sheetName val="Rekap RAB_Amd"/>
      <sheetName val="RAB_Amd"/>
      <sheetName val="REKAP_Dftr_Kuan_Hrg_Amd"/>
      <sheetName val="Dftr_Kuan_Hrg Amd"/>
      <sheetName val="luar"/>
      <sheetName val="RINC hotel"/>
      <sheetName val="PROTECTION "/>
      <sheetName val="bahan-mos"/>
      <sheetName val="Ch"/>
      <sheetName val="SDY"/>
      <sheetName val="Perhitungan RAB"/>
      <sheetName val="Rencana Anggaran Biaya"/>
      <sheetName val="Harga Satuan"/>
      <sheetName val="Public Area"/>
      <sheetName val="Daf 1"/>
      <sheetName val="H.Satuan"/>
      <sheetName val="대비표"/>
      <sheetName val="SAP"/>
      <sheetName val="Grand summary"/>
      <sheetName val="TE TS FA LAN MATV"/>
      <sheetName val="安装"/>
      <sheetName val="Material"/>
      <sheetName val="VAC-1"/>
      <sheetName val="L-TIGA"/>
      <sheetName val="Man Power &amp; Comp"/>
      <sheetName val="SITE-E"/>
      <sheetName val="磨煤加压"/>
      <sheetName val="RAB-ME"/>
      <sheetName val="struktur tdk dipakai"/>
      <sheetName val="schalt"/>
      <sheetName val="schtng"/>
      <sheetName val="schbhn"/>
      <sheetName val="luar Apart"/>
      <sheetName val="Anal"/>
      <sheetName val="RAB-NEGO"/>
      <sheetName val="Bill rekap"/>
      <sheetName val="hrg dasar"/>
      <sheetName val="Ahs.2"/>
      <sheetName val="Ahs.1"/>
      <sheetName val="STRUCT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st- comparison"/>
      <sheetName val="Review-items"/>
      <sheetName val="G-1 "/>
      <sheetName val="PS"/>
      <sheetName val="Comparison sheet"/>
      <sheetName val="SUMMARY"/>
      <sheetName val="A-PREP.1"/>
      <sheetName val="B-STR.1"/>
      <sheetName val="C-FIN.1"/>
      <sheetName val="D-PREP.2"/>
      <sheetName val="E-PREP.3"/>
      <sheetName val="F-STR.2"/>
      <sheetName val="G-FIN.2"/>
      <sheetName val="H-OTHER"/>
      <sheetName val="I-ME"/>
      <sheetName val="TW"/>
      <sheetName val="EXP"/>
      <sheetName val="SCHEDULE"/>
      <sheetName val="prelim-schedule"/>
      <sheetName val="I_ME"/>
      <sheetName val="harsat"/>
      <sheetName val="YTD'97 Sales"/>
      <sheetName val="Week9-Feb    "/>
      <sheetName val="Week31-August"/>
      <sheetName val="ESCON"/>
      <sheetName val="an. struktur"/>
      <sheetName val="Dashboard"/>
      <sheetName val="BQ"/>
      <sheetName val="Steel-Twr"/>
      <sheetName val="Ahs_2"/>
      <sheetName val="Ahs_1"/>
      <sheetName val="anal"/>
      <sheetName val="351BQMCN"/>
      <sheetName val="Analisa HSP"/>
      <sheetName val="H.Satu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aroux"/>
      <sheetName val="total"/>
      <sheetName val="service"/>
      <sheetName val="bale"/>
      <sheetName val="spa"/>
      <sheetName val="towel"/>
      <sheetName val="atap"/>
      <sheetName val="pres-suite"/>
      <sheetName val="suite"/>
      <sheetName val="villa"/>
    </sheetNames>
    <sheetDataSet>
      <sheetData sheetId="0" refreshError="1"/>
      <sheetData sheetId="1"/>
      <sheetData sheetId="2"/>
      <sheetData sheetId="3"/>
      <sheetData sheetId="4"/>
      <sheetData sheetId="5"/>
      <sheetData sheetId="6"/>
      <sheetData sheetId="7"/>
      <sheetData sheetId="8"/>
      <sheetData sheetId="9"/>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Q-PROD"/>
      <sheetName val="SRT"/>
      <sheetName val="ESCON"/>
      <sheetName val="SCOPE"/>
      <sheetName val="SCOPE (2)"/>
      <sheetName val="MAKER"/>
      <sheetName val="BQ"/>
    </sheetNames>
    <sheetDataSet>
      <sheetData sheetId="0" refreshError="1"/>
      <sheetData sheetId="1" refreshError="1"/>
      <sheetData sheetId="2"/>
      <sheetData sheetId="3" refreshError="1"/>
      <sheetData sheetId="4" refreshError="1"/>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E) "/>
      <sheetName val="SRT"/>
      <sheetName val="ESCON"/>
      <sheetName val="SCOPE"/>
      <sheetName val="MAKER (E)"/>
      <sheetName val="MAKER"/>
      <sheetName val="SUM-PRO"/>
      <sheetName val="Sheet1"/>
      <sheetName val="BQ"/>
      <sheetName val="Pro(M)"/>
      <sheetName val="SEX"/>
      <sheetName val="DBP-E"/>
      <sheetName val="DBP-0900"/>
      <sheetName val="DBP-0200"/>
      <sheetName val="Bill Of Quantity"/>
      <sheetName val="H.Satuan"/>
      <sheetName val="L-Mechanical"/>
      <sheetName val="rab me (by owner) "/>
      <sheetName val="BQ (by owner)"/>
      <sheetName val="rab me (fisik)"/>
      <sheetName val="GLP-DISCOUNT"/>
      <sheetName val="GLP 2001"/>
      <sheetName val="EE-PROP"/>
      <sheetName val="PC"/>
      <sheetName val="Balok"/>
      <sheetName val="GB"/>
      <sheetName val="Upah+Bahan"/>
      <sheetName val="SITE-E"/>
      <sheetName val="PL-Office"/>
      <sheetName val="BAG-2"/>
      <sheetName val="Mekanikal"/>
      <sheetName val="01A- RAB"/>
      <sheetName val="G_SUMMARY"/>
      <sheetName val="Bill of Qty MEP"/>
      <sheetName val="Anl.+"/>
      <sheetName val="112-885"/>
      <sheetName val="DAF_3.1"/>
      <sheetName val="DAF_3.11"/>
      <sheetName val="HB "/>
      <sheetName val="Infrastruktur"/>
      <sheetName val="Persiapan"/>
      <sheetName val="AC"/>
      <sheetName val="ｺﾝY条件BD"/>
      <sheetName val="ANALISA-A"/>
      <sheetName val="STR"/>
      <sheetName val="DAF-1"/>
      <sheetName val="ANALISA"/>
      <sheetName val="harsat"/>
      <sheetName val="K"/>
      <sheetName val="Panel,feeder,elek"/>
      <sheetName val="5.1.ELEKTRIKAL-ELEKTRONIK"/>
      <sheetName val="ahs"/>
      <sheetName val="metode"/>
      <sheetName val="BoQ STR"/>
      <sheetName val="Finishing (2)"/>
      <sheetName val="AN_Kusen"/>
      <sheetName val="BQ_ARS"/>
      <sheetName val="Finishing"/>
      <sheetName val="Fin-Bengkel"/>
      <sheetName val="Fin-Showroom"/>
      <sheetName val="Hal_Pagar"/>
      <sheetName val="Str-Bengkel"/>
      <sheetName val="Str-Showroom"/>
      <sheetName val="NS GD.UTAMA"/>
      <sheetName val="anal"/>
      <sheetName val="Man_Power_Const"/>
      <sheetName val="HRG BHN"/>
      <sheetName val="tuong"/>
      <sheetName val="Pro(E)_"/>
      <sheetName val="MAKER_(E)"/>
      <sheetName val="Bill_Of_Quantity"/>
      <sheetName val="H_Satuan"/>
      <sheetName val="rab_me_(by_owner)_"/>
      <sheetName val="BQ_(by_owner)"/>
      <sheetName val="rab_me_(fisik)"/>
      <sheetName val="GLP_2001"/>
      <sheetName val="Anl_+"/>
      <sheetName val="ELEC STIS"/>
      <sheetName val="DAF_2"/>
      <sheetName val="Plambing"/>
      <sheetName val="BQ Arsitektur"/>
      <sheetName val="BAHAN"/>
      <sheetName val="Isolasi Luar Dalam"/>
      <sheetName val="Isolasi Luar"/>
      <sheetName val="struktur"/>
      <sheetName val="Roofing2"/>
      <sheetName val="PileCap"/>
      <sheetName val="Tie Beam GN"/>
      <sheetName val="Tangga GN"/>
      <sheetName val="FLAF&amp;PARTSI"/>
      <sheetName val="Analis Kusen 1 ESKALASI"/>
      <sheetName val="Analisa ME"/>
      <sheetName val="GE_1_2"/>
      <sheetName val="NP (4)"/>
      <sheetName val="Transfer Pump"/>
      <sheetName val="rab - persiapan &amp; lantai-1"/>
      <sheetName val="Bronjong_Geoteks"/>
      <sheetName val="DAF-5"/>
      <sheetName val="REF.ONLY"/>
      <sheetName val="FORM X COST"/>
      <sheetName val="SAT"/>
      <sheetName val="KK"/>
      <sheetName val="boq"/>
      <sheetName val="HS Alat"/>
      <sheetName val="A"/>
      <sheetName val="附表4-辅助工程"/>
      <sheetName val="附表4-公用工程项目"/>
      <sheetName val="附表2"/>
      <sheetName val="부하계산서"/>
      <sheetName val="finalisasi"/>
      <sheetName val="ANALISA PEK.UMUM"/>
      <sheetName val="Material"/>
      <sheetName val="BOQ INTER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7">
          <cell r="P7" t="str">
            <v xml:space="preserve">B U D G E T A R Y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
      <sheetName val="B"/>
      <sheetName val="rekap A"/>
      <sheetName val="rekap b"/>
      <sheetName val="grand sum"/>
      <sheetName val="sampul"/>
      <sheetName val="pEMBATAS"/>
      <sheetName val="Pipe"/>
      <sheetName val="Weight Bridge"/>
      <sheetName val="PLUMBING"/>
      <sheetName val="HARGA MATERIAL"/>
      <sheetName val="BQ ARS"/>
      <sheetName val="AHSbj"/>
      <sheetName val="H.Satuan"/>
      <sheetName val="data"/>
      <sheetName val="rekap_A"/>
      <sheetName val="rekap_b"/>
      <sheetName val="grand_sum"/>
      <sheetName val="HARGA_MATERIAL"/>
      <sheetName val="Rab"/>
      <sheetName val="A-11 Steel Str"/>
      <sheetName val="A-03 Pile"/>
      <sheetName val="REKAP_VOLUME"/>
      <sheetName val="SNI-17-3-09"/>
      <sheetName val="RKP.ANL"/>
      <sheetName val="BM"/>
      <sheetName val="ESCON"/>
      <sheetName val="PAD-F"/>
      <sheetName val="REKAP_ARSITEKTUR."/>
      <sheetName val="AC-C"/>
      <sheetName val="Sheet"/>
      <sheetName val="bahan"/>
      <sheetName val="BQ (by owner)"/>
      <sheetName val="rab me (fisik)"/>
      <sheetName val="rab me (by owner) "/>
      <sheetName val="HarSat"/>
      <sheetName val="pintu jendela"/>
      <sheetName val="ELEMENT SUM"/>
      <sheetName val="Rekap"/>
      <sheetName val="01A- RAB"/>
      <sheetName val="Paint Type B"/>
      <sheetName val="AnBayarUtama"/>
      <sheetName val="SEX"/>
      <sheetName val="PERSIAPAN"/>
      <sheetName val="UTILITAS"/>
      <sheetName val="Estimate"/>
      <sheetName val="str-Rab"/>
      <sheetName val="villa"/>
      <sheetName val="Material"/>
      <sheetName val="D4"/>
      <sheetName val="D6"/>
      <sheetName val="D7"/>
      <sheetName val="D8"/>
      <sheetName val="DAF-1"/>
      <sheetName val="analisa"/>
      <sheetName val="UPAH"/>
      <sheetName val="Harga Satuan"/>
      <sheetName val="Spec ME"/>
      <sheetName val="9.2~PK"/>
      <sheetName val="PERSIAP"/>
      <sheetName val="PileCap"/>
      <sheetName val="Balok L.1"/>
      <sheetName val="LOADDAT"/>
      <sheetName val="Hargamaterial"/>
      <sheetName val="Rekap Direct Cost"/>
      <sheetName val="har-sat"/>
      <sheetName val="Analisa Upah &amp; Bahan Plum"/>
      <sheetName val="AC"/>
      <sheetName val="Master 1.0"/>
      <sheetName val="Analisa Tend"/>
      <sheetName val="NP"/>
      <sheetName val="Pekerjaan "/>
      <sheetName val="Traf&amp;Genst"/>
      <sheetName val="Area Tabulation1"/>
      <sheetName val="Proj Data"/>
      <sheetName val="351BQMCN"/>
      <sheetName val="Daf. No. - 4.2"/>
      <sheetName val="BQ-Str"/>
      <sheetName val="ARSITEKTUR"/>
      <sheetName val="Currency Rate"/>
      <sheetName val="Analisa 2"/>
      <sheetName val="rekap_A1"/>
      <sheetName val="rekap_b1"/>
      <sheetName val="grand_sum1"/>
      <sheetName val="HARGA_MATERIAL1"/>
      <sheetName val="BQ_ARS"/>
      <sheetName val="H_Satuan"/>
      <sheetName val="A-11_Steel_Str"/>
      <sheetName val="A-03_Pile"/>
      <sheetName val="LK-gate"/>
      <sheetName val="DRAFT KONSUMEN"/>
      <sheetName val="ahas-ins"/>
      <sheetName val="G_SUMMARY"/>
      <sheetName val="BQ-1A"/>
      <sheetName val="Sal"/>
      <sheetName val="Embong-Malang"/>
      <sheetName val="I-KAMAR"/>
      <sheetName val="SUM TIANG PC"/>
      <sheetName val="Balok L_1"/>
      <sheetName val="326BQSTC"/>
      <sheetName val="Ana"/>
      <sheetName val="4-Basic Price"/>
      <sheetName val="BOQ"/>
      <sheetName val="D-1"/>
      <sheetName val="HB "/>
      <sheetName val="Harga"/>
      <sheetName val="Alat"/>
      <sheetName val="data bahan"/>
      <sheetName val="Sub.kon"/>
      <sheetName val="Analisa Teknik"/>
      <sheetName val="Material "/>
      <sheetName val="Upah borong"/>
      <sheetName val="Volume"/>
      <sheetName val="Analisa alat berat..."/>
      <sheetName val="Alat Berat"/>
      <sheetName val="Instal precast"/>
      <sheetName val="sai"/>
      <sheetName val="hsd"/>
      <sheetName val="LATIH1"/>
      <sheetName val="A_ars"/>
      <sheetName val="An Struktur"/>
      <sheetName val="Unit Rate _2_"/>
      <sheetName val="GRAND TOTAL"/>
      <sheetName val="OUT"/>
      <sheetName val="DAF-2"/>
      <sheetName val="TOTAL"/>
      <sheetName val="Analisa -Baku"/>
      <sheetName val="Rekap Prelim"/>
      <sheetName val="Satuan Dasar"/>
      <sheetName val="Hargamat"/>
      <sheetName val="CATU DAYA LISTRIK PK"/>
      <sheetName val="PERALATAN &amp; KATUP2 PK"/>
      <sheetName val="PERALATAN UTAMA PK"/>
      <sheetName val="CATU DAYA LISTRIK PLB"/>
      <sheetName val="PERALATAN &amp; KATUP2 PLB"/>
      <sheetName val="PERALATAN UTAMA PLB"/>
      <sheetName val="PEMIPAAN PK"/>
      <sheetName val="PEMIPAAN PLB"/>
      <sheetName val="An str"/>
      <sheetName val="mek"/>
      <sheetName val="HS Bhn"/>
      <sheetName val="16-AC-27JULI"/>
      <sheetName val="16_AC_27JULI"/>
      <sheetName val="TOTAL Summary"/>
      <sheetName val="bill 5"/>
      <sheetName val="SELL-SUMM-COST"/>
      <sheetName val="2.10"/>
      <sheetName val="SITE-E"/>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F6" dT="2023-12-11T08:11:15.09" personId="{00000000-0000-0000-0000-000000000000}" id="{A0C71382-EA02-4EE8-8B9B-5DAABAE958AE}">
    <text xml:space="preserve">Vina cần bản vẽ thi công ngày 04/3/2024 </text>
  </threadedComment>
  <threadedComment ref="F15" dT="2023-12-11T08:11:38.68" personId="{00000000-0000-0000-0000-000000000000}" id="{A5F4B613-1E63-4ADE-9A7D-0A993A207B6C}">
    <text>Vina cần bản vẽ thi công ngày 04/04/2024</text>
  </threadedComment>
  <threadedComment ref="F44" dT="2023-12-11T08:12:28.45" personId="{00000000-0000-0000-0000-000000000000}" id="{17286361-BB16-4FFC-B82B-11A4FAC4C6F0}">
    <text>Vina cần bản vẽ thi công ngày 29/04/2024</text>
  </threadedComment>
  <threadedComment ref="F53" dT="2023-12-11T08:12:59.73" personId="{00000000-0000-0000-0000-000000000000}" id="{B5B0F036-7467-493E-9877-3DC7C64C9C34}">
    <text>Vina cần bản vẽ ngày 24/5/2024</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5.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H70"/>
  <sheetViews>
    <sheetView view="pageBreakPreview" zoomScaleNormal="100" zoomScaleSheetLayoutView="100" workbookViewId="0">
      <selection activeCell="G15" sqref="G15"/>
    </sheetView>
  </sheetViews>
  <sheetFormatPr defaultColWidth="9.140625" defaultRowHeight="15"/>
  <cols>
    <col min="1" max="1" width="6.7109375" style="5" customWidth="1"/>
    <col min="2" max="2" width="63.28515625" style="20" customWidth="1"/>
    <col min="3" max="3" width="20.28515625" style="20" customWidth="1"/>
    <col min="4" max="4" width="12" style="27" bestFit="1" customWidth="1"/>
    <col min="5" max="5" width="15" style="21" bestFit="1" customWidth="1"/>
    <col min="6" max="6" width="13" style="21" bestFit="1" customWidth="1"/>
    <col min="7" max="7" width="16.7109375" style="5" bestFit="1" customWidth="1"/>
    <col min="8" max="8" width="55.7109375" style="5" customWidth="1"/>
    <col min="9" max="16384" width="9.140625" style="5"/>
  </cols>
  <sheetData>
    <row r="1" spans="1:8" ht="25.15" customHeight="1">
      <c r="A1" s="196" t="s">
        <v>17</v>
      </c>
      <c r="B1" s="197"/>
      <c r="C1" s="32" t="s">
        <v>10</v>
      </c>
      <c r="D1" s="29"/>
      <c r="E1" s="28"/>
      <c r="F1" s="28"/>
      <c r="G1" s="33"/>
      <c r="H1" s="34"/>
    </row>
    <row r="2" spans="1:8" ht="25.15" customHeight="1">
      <c r="A2" s="198"/>
      <c r="B2" s="199"/>
      <c r="C2" s="35" t="s">
        <v>40</v>
      </c>
      <c r="D2" s="31"/>
      <c r="E2" s="30"/>
      <c r="F2" s="30"/>
      <c r="G2" s="36"/>
      <c r="H2" s="37"/>
    </row>
    <row r="3" spans="1:8" ht="25.15" customHeight="1">
      <c r="A3" s="198"/>
      <c r="B3" s="199"/>
      <c r="C3" s="79" t="s">
        <v>39</v>
      </c>
      <c r="D3" s="31"/>
      <c r="E3" s="30"/>
      <c r="F3" s="30"/>
      <c r="G3" s="36"/>
      <c r="H3" s="37"/>
    </row>
    <row r="4" spans="1:8" ht="30" customHeight="1">
      <c r="A4" s="200"/>
      <c r="B4" s="201"/>
      <c r="C4" s="202" t="s">
        <v>41</v>
      </c>
      <c r="D4" s="203"/>
      <c r="E4" s="203"/>
      <c r="F4" s="203"/>
      <c r="G4" s="203"/>
      <c r="H4" s="204"/>
    </row>
    <row r="5" spans="1:8" s="6" customFormat="1" ht="60" customHeight="1">
      <c r="A5" s="22" t="s">
        <v>0</v>
      </c>
      <c r="B5" s="22" t="s">
        <v>1</v>
      </c>
      <c r="C5" s="22" t="s">
        <v>16</v>
      </c>
      <c r="D5" s="23" t="s">
        <v>4</v>
      </c>
      <c r="E5" s="22" t="s">
        <v>2</v>
      </c>
      <c r="F5" s="22" t="s">
        <v>3</v>
      </c>
      <c r="G5" s="22" t="s">
        <v>19</v>
      </c>
      <c r="H5" s="22" t="s">
        <v>18</v>
      </c>
    </row>
    <row r="6" spans="1:8" s="1" customFormat="1" ht="60" customHeight="1">
      <c r="A6" s="73" t="s">
        <v>42</v>
      </c>
      <c r="B6" s="74" t="s">
        <v>45</v>
      </c>
      <c r="C6" s="75"/>
      <c r="D6" s="76"/>
      <c r="E6" s="77">
        <f>MIN(E7:E13)</f>
        <v>45216</v>
      </c>
      <c r="F6" s="77">
        <f>MAX(F7:F13)</f>
        <v>45260</v>
      </c>
      <c r="G6" s="78">
        <f>F6-E6</f>
        <v>44</v>
      </c>
      <c r="H6" s="78"/>
    </row>
    <row r="7" spans="1:8" s="1" customFormat="1" ht="37.9" customHeight="1">
      <c r="A7" s="82">
        <v>1</v>
      </c>
      <c r="B7" s="50" t="s">
        <v>44</v>
      </c>
      <c r="C7" s="13" t="s">
        <v>20</v>
      </c>
      <c r="D7" s="61">
        <v>1</v>
      </c>
      <c r="E7" s="62">
        <v>45216</v>
      </c>
      <c r="F7" s="62">
        <f>E7+G7-1</f>
        <v>45232</v>
      </c>
      <c r="G7" s="68">
        <v>17</v>
      </c>
      <c r="H7" s="63"/>
    </row>
    <row r="8" spans="1:8" s="57" customFormat="1" ht="75">
      <c r="A8" s="83">
        <v>2</v>
      </c>
      <c r="B8" s="69" t="s">
        <v>28</v>
      </c>
      <c r="C8" s="70" t="s">
        <v>20</v>
      </c>
      <c r="D8" s="71">
        <v>0.6</v>
      </c>
      <c r="E8" s="53">
        <v>45238</v>
      </c>
      <c r="F8" s="64">
        <f>E8+G8-1</f>
        <v>45246</v>
      </c>
      <c r="G8" s="81">
        <v>9</v>
      </c>
      <c r="H8" s="56" t="s">
        <v>25</v>
      </c>
    </row>
    <row r="9" spans="1:8" s="1" customFormat="1" ht="30">
      <c r="A9" s="84">
        <f t="shared" ref="A9:A23" si="0">A8+1</f>
        <v>3</v>
      </c>
      <c r="B9" s="14" t="s">
        <v>34</v>
      </c>
      <c r="C9" s="15" t="s">
        <v>20</v>
      </c>
      <c r="D9" s="11">
        <v>0</v>
      </c>
      <c r="E9" s="12">
        <f>F8+1</f>
        <v>45247</v>
      </c>
      <c r="F9" s="12">
        <f t="shared" ref="F9" si="1">E9+G9-1</f>
        <v>45247</v>
      </c>
      <c r="G9" s="68">
        <v>1</v>
      </c>
      <c r="H9" s="15"/>
    </row>
    <row r="10" spans="1:8" s="1" customFormat="1" ht="46.15" customHeight="1">
      <c r="A10" s="84">
        <f t="shared" si="0"/>
        <v>4</v>
      </c>
      <c r="B10" s="14" t="s">
        <v>37</v>
      </c>
      <c r="C10" s="15" t="s">
        <v>21</v>
      </c>
      <c r="D10" s="11"/>
      <c r="E10" s="12">
        <f t="shared" ref="E10:E12" si="2">F9+1</f>
        <v>45248</v>
      </c>
      <c r="F10" s="12">
        <f t="shared" ref="F10:F11" si="3">E10+G10-1</f>
        <v>45250</v>
      </c>
      <c r="G10" s="68">
        <v>3</v>
      </c>
      <c r="H10" s="47" t="s">
        <v>43</v>
      </c>
    </row>
    <row r="11" spans="1:8" s="1" customFormat="1" ht="57" customHeight="1">
      <c r="A11" s="84">
        <f t="shared" si="0"/>
        <v>5</v>
      </c>
      <c r="B11" s="14" t="s">
        <v>29</v>
      </c>
      <c r="C11" s="15" t="s">
        <v>20</v>
      </c>
      <c r="D11" s="11"/>
      <c r="E11" s="12">
        <f t="shared" si="2"/>
        <v>45251</v>
      </c>
      <c r="F11" s="12">
        <f t="shared" si="3"/>
        <v>45252</v>
      </c>
      <c r="G11" s="68">
        <v>2</v>
      </c>
      <c r="H11" s="47"/>
    </row>
    <row r="12" spans="1:8" s="1" customFormat="1" ht="57" customHeight="1">
      <c r="A12" s="84">
        <f t="shared" si="0"/>
        <v>6</v>
      </c>
      <c r="B12" s="14" t="s">
        <v>35</v>
      </c>
      <c r="C12" s="15" t="s">
        <v>20</v>
      </c>
      <c r="D12" s="11"/>
      <c r="E12" s="12">
        <f t="shared" si="2"/>
        <v>45253</v>
      </c>
      <c r="F12" s="12">
        <f t="shared" ref="F12:F13" si="4">E12+G12-1</f>
        <v>45254</v>
      </c>
      <c r="G12" s="68">
        <v>2</v>
      </c>
      <c r="H12" s="47"/>
    </row>
    <row r="13" spans="1:8" s="57" customFormat="1" ht="70.5" customHeight="1">
      <c r="A13" s="85">
        <f t="shared" si="0"/>
        <v>7</v>
      </c>
      <c r="B13" s="52" t="s">
        <v>30</v>
      </c>
      <c r="C13" s="54" t="s">
        <v>20</v>
      </c>
      <c r="D13" s="55"/>
      <c r="E13" s="51">
        <f>F12</f>
        <v>45254</v>
      </c>
      <c r="F13" s="80">
        <f t="shared" si="4"/>
        <v>45260</v>
      </c>
      <c r="G13" s="54">
        <v>7</v>
      </c>
      <c r="H13" s="58" t="s">
        <v>23</v>
      </c>
    </row>
    <row r="14" spans="1:8" s="1" customFormat="1" ht="27" customHeight="1">
      <c r="A14" s="82"/>
      <c r="B14" s="50"/>
      <c r="C14" s="13"/>
      <c r="D14" s="61"/>
      <c r="E14" s="62"/>
      <c r="F14" s="86"/>
      <c r="G14" s="13"/>
      <c r="H14" s="63"/>
    </row>
    <row r="15" spans="1:8" s="1" customFormat="1" ht="60" customHeight="1">
      <c r="A15" s="73" t="s">
        <v>5</v>
      </c>
      <c r="B15" s="74" t="s">
        <v>46</v>
      </c>
      <c r="C15" s="75"/>
      <c r="D15" s="76"/>
      <c r="E15" s="77">
        <f>MIN(E16:E23)</f>
        <v>45248</v>
      </c>
      <c r="F15" s="77">
        <f>MAX(F16:F23)</f>
        <v>45284</v>
      </c>
      <c r="G15" s="78">
        <f>F15-E15</f>
        <v>36</v>
      </c>
      <c r="H15" s="78"/>
    </row>
    <row r="16" spans="1:8" s="1" customFormat="1" ht="76.5" customHeight="1">
      <c r="A16" s="84">
        <v>1</v>
      </c>
      <c r="B16" s="65" t="s">
        <v>38</v>
      </c>
      <c r="C16" s="68" t="s">
        <v>20</v>
      </c>
      <c r="D16" s="66"/>
      <c r="E16" s="67">
        <f>F9+1</f>
        <v>45248</v>
      </c>
      <c r="F16" s="67">
        <f t="shared" ref="F16:F23" si="5">E16+G16-1</f>
        <v>45248</v>
      </c>
      <c r="G16" s="68">
        <v>1</v>
      </c>
      <c r="H16" s="47" t="s">
        <v>24</v>
      </c>
    </row>
    <row r="17" spans="1:8" s="1" customFormat="1" ht="30">
      <c r="A17" s="84">
        <f t="shared" si="0"/>
        <v>2</v>
      </c>
      <c r="B17" s="14" t="s">
        <v>31</v>
      </c>
      <c r="C17" s="15" t="s">
        <v>21</v>
      </c>
      <c r="D17" s="11"/>
      <c r="E17" s="12">
        <f>F16+1</f>
        <v>45249</v>
      </c>
      <c r="F17" s="12">
        <f t="shared" si="5"/>
        <v>45255</v>
      </c>
      <c r="G17" s="68">
        <v>7</v>
      </c>
      <c r="H17" s="47"/>
    </row>
    <row r="18" spans="1:8" s="1" customFormat="1" ht="42" customHeight="1">
      <c r="A18" s="84">
        <f t="shared" si="0"/>
        <v>3</v>
      </c>
      <c r="B18" s="14" t="s">
        <v>47</v>
      </c>
      <c r="C18" s="15" t="s">
        <v>20</v>
      </c>
      <c r="D18" s="11"/>
      <c r="E18" s="12">
        <f>E17+1</f>
        <v>45250</v>
      </c>
      <c r="F18" s="12">
        <f t="shared" si="5"/>
        <v>45259</v>
      </c>
      <c r="G18" s="68">
        <v>10</v>
      </c>
      <c r="H18" s="47"/>
    </row>
    <row r="19" spans="1:8" s="1" customFormat="1" ht="45">
      <c r="A19" s="84">
        <f t="shared" si="0"/>
        <v>4</v>
      </c>
      <c r="B19" s="14" t="s">
        <v>48</v>
      </c>
      <c r="C19" s="15" t="s">
        <v>20</v>
      </c>
      <c r="D19" s="11"/>
      <c r="E19" s="12">
        <f>F18+1</f>
        <v>45260</v>
      </c>
      <c r="F19" s="12">
        <f t="shared" si="5"/>
        <v>45261</v>
      </c>
      <c r="G19" s="68">
        <v>2</v>
      </c>
      <c r="H19" s="59" t="s">
        <v>24</v>
      </c>
    </row>
    <row r="20" spans="1:8" s="1" customFormat="1" ht="70.5" customHeight="1">
      <c r="A20" s="84">
        <f t="shared" si="0"/>
        <v>5</v>
      </c>
      <c r="B20" s="14" t="s">
        <v>33</v>
      </c>
      <c r="C20" s="15" t="s">
        <v>22</v>
      </c>
      <c r="D20" s="11"/>
      <c r="E20" s="12">
        <f>F19+1</f>
        <v>45262</v>
      </c>
      <c r="F20" s="12">
        <f t="shared" si="5"/>
        <v>45268</v>
      </c>
      <c r="G20" s="68">
        <v>7</v>
      </c>
      <c r="H20" s="59" t="s">
        <v>23</v>
      </c>
    </row>
    <row r="21" spans="1:8" s="1" customFormat="1" ht="64.150000000000006" customHeight="1">
      <c r="A21" s="84">
        <f t="shared" si="0"/>
        <v>6</v>
      </c>
      <c r="B21" s="14" t="s">
        <v>32</v>
      </c>
      <c r="C21" s="15" t="s">
        <v>20</v>
      </c>
      <c r="D21" s="11"/>
      <c r="E21" s="12">
        <f>F20+1</f>
        <v>45269</v>
      </c>
      <c r="F21" s="12">
        <f t="shared" si="5"/>
        <v>45275</v>
      </c>
      <c r="G21" s="68">
        <v>7</v>
      </c>
      <c r="H21" s="59" t="s">
        <v>26</v>
      </c>
    </row>
    <row r="22" spans="1:8" s="1" customFormat="1" ht="48.75" customHeight="1">
      <c r="A22" s="84">
        <f t="shared" si="0"/>
        <v>7</v>
      </c>
      <c r="B22" s="14" t="s">
        <v>27</v>
      </c>
      <c r="C22" s="15" t="s">
        <v>20</v>
      </c>
      <c r="D22" s="11"/>
      <c r="E22" s="12">
        <f>F21+1</f>
        <v>45276</v>
      </c>
      <c r="F22" s="12">
        <f t="shared" si="5"/>
        <v>45277</v>
      </c>
      <c r="G22" s="68">
        <v>2</v>
      </c>
      <c r="H22" s="59"/>
    </row>
    <row r="23" spans="1:8" s="60" customFormat="1" ht="45">
      <c r="A23" s="85">
        <f t="shared" si="0"/>
        <v>8</v>
      </c>
      <c r="B23" s="52" t="s">
        <v>36</v>
      </c>
      <c r="C23" s="54" t="s">
        <v>22</v>
      </c>
      <c r="D23" s="55"/>
      <c r="E23" s="51">
        <f>F22+1</f>
        <v>45278</v>
      </c>
      <c r="F23" s="72">
        <f t="shared" si="5"/>
        <v>45284</v>
      </c>
      <c r="G23" s="54">
        <v>7</v>
      </c>
      <c r="H23" s="52" t="s">
        <v>23</v>
      </c>
    </row>
    <row r="24" spans="1:8" s="1" customFormat="1" ht="30" hidden="1" customHeight="1">
      <c r="A24" s="16" t="s">
        <v>5</v>
      </c>
      <c r="B24" s="7" t="s">
        <v>11</v>
      </c>
      <c r="C24" s="17"/>
      <c r="D24" s="24"/>
      <c r="E24" s="8">
        <f>MIN(E25:E27)</f>
        <v>0</v>
      </c>
      <c r="F24" s="8">
        <f>MAX(F25:F27)</f>
        <v>0</v>
      </c>
      <c r="G24" s="9">
        <f>SUM(G25:G27)</f>
        <v>0</v>
      </c>
      <c r="H24" s="49"/>
    </row>
    <row r="25" spans="1:8" s="1" customFormat="1" hidden="1">
      <c r="A25" s="38">
        <v>1</v>
      </c>
      <c r="B25" s="44"/>
      <c r="C25" s="45"/>
      <c r="D25" s="41"/>
      <c r="E25" s="42"/>
      <c r="F25" s="42"/>
      <c r="G25" s="43"/>
      <c r="H25" s="46"/>
    </row>
    <row r="26" spans="1:8" s="1" customFormat="1" hidden="1">
      <c r="A26" s="10">
        <f>A25+1</f>
        <v>2</v>
      </c>
      <c r="B26" s="3"/>
      <c r="C26" s="4"/>
      <c r="D26" s="11"/>
      <c r="E26" s="12"/>
      <c r="F26" s="12"/>
      <c r="G26" s="13"/>
      <c r="H26" s="48"/>
    </row>
    <row r="27" spans="1:8" s="1" customFormat="1" hidden="1">
      <c r="A27" s="10">
        <f t="shared" ref="A27:A39" si="6">A26+1</f>
        <v>3</v>
      </c>
      <c r="B27" s="14"/>
      <c r="C27" s="15"/>
      <c r="D27" s="11"/>
      <c r="E27" s="12"/>
      <c r="F27" s="12"/>
      <c r="G27" s="13"/>
      <c r="H27" s="48"/>
    </row>
    <row r="28" spans="1:8" s="1" customFormat="1" ht="30" hidden="1" customHeight="1">
      <c r="A28" s="16" t="s">
        <v>6</v>
      </c>
      <c r="B28" s="7" t="s">
        <v>12</v>
      </c>
      <c r="C28" s="17"/>
      <c r="D28" s="24"/>
      <c r="E28" s="8">
        <f>MIN(E29:E31)</f>
        <v>0</v>
      </c>
      <c r="F28" s="8">
        <f>MAX(F29:F31)</f>
        <v>0</v>
      </c>
      <c r="G28" s="9">
        <f>SUM(G29:G31)</f>
        <v>0</v>
      </c>
      <c r="H28" s="49"/>
    </row>
    <row r="29" spans="1:8" s="1" customFormat="1" hidden="1">
      <c r="A29" s="38">
        <v>1</v>
      </c>
      <c r="B29" s="39"/>
      <c r="C29" s="45"/>
      <c r="D29" s="41"/>
      <c r="E29" s="42"/>
      <c r="F29" s="42"/>
      <c r="G29" s="43"/>
      <c r="H29" s="46"/>
    </row>
    <row r="30" spans="1:8" s="1" customFormat="1" hidden="1">
      <c r="A30" s="10">
        <f t="shared" si="6"/>
        <v>2</v>
      </c>
      <c r="B30" s="3"/>
      <c r="C30" s="4"/>
      <c r="D30" s="11"/>
      <c r="E30" s="12"/>
      <c r="F30" s="12"/>
      <c r="G30" s="13"/>
      <c r="H30" s="48"/>
    </row>
    <row r="31" spans="1:8" s="1" customFormat="1" hidden="1">
      <c r="A31" s="10">
        <f t="shared" si="6"/>
        <v>3</v>
      </c>
      <c r="B31" s="14"/>
      <c r="C31" s="15"/>
      <c r="D31" s="11"/>
      <c r="E31" s="12"/>
      <c r="F31" s="12"/>
      <c r="G31" s="13"/>
      <c r="H31" s="48"/>
    </row>
    <row r="32" spans="1:8" s="1" customFormat="1" ht="30" hidden="1" customHeight="1">
      <c r="A32" s="16" t="s">
        <v>7</v>
      </c>
      <c r="B32" s="7" t="s">
        <v>13</v>
      </c>
      <c r="C32" s="17"/>
      <c r="D32" s="24"/>
      <c r="E32" s="8">
        <f>MIN(E33:E35)</f>
        <v>0</v>
      </c>
      <c r="F32" s="8">
        <f>MAX(F33:F35)</f>
        <v>0</v>
      </c>
      <c r="G32" s="9">
        <f>SUM(G33:G35)</f>
        <v>0</v>
      </c>
      <c r="H32" s="49"/>
    </row>
    <row r="33" spans="1:8" s="1" customFormat="1" hidden="1">
      <c r="A33" s="38">
        <v>1</v>
      </c>
      <c r="B33" s="39"/>
      <c r="C33" s="45"/>
      <c r="D33" s="41"/>
      <c r="E33" s="42"/>
      <c r="F33" s="42"/>
      <c r="G33" s="43"/>
      <c r="H33" s="46"/>
    </row>
    <row r="34" spans="1:8" s="1" customFormat="1" hidden="1">
      <c r="A34" s="10">
        <f>A33+1</f>
        <v>2</v>
      </c>
      <c r="B34" s="2"/>
      <c r="C34" s="4"/>
      <c r="D34" s="11"/>
      <c r="E34" s="12"/>
      <c r="F34" s="12"/>
      <c r="G34" s="13"/>
      <c r="H34" s="48"/>
    </row>
    <row r="35" spans="1:8" s="1" customFormat="1" hidden="1">
      <c r="A35" s="10">
        <f t="shared" ref="A35" si="7">A34+1</f>
        <v>3</v>
      </c>
      <c r="B35" s="2"/>
      <c r="C35" s="4"/>
      <c r="D35" s="11"/>
      <c r="E35" s="12"/>
      <c r="F35" s="12"/>
      <c r="G35" s="13"/>
      <c r="H35" s="48"/>
    </row>
    <row r="36" spans="1:8" s="1" customFormat="1" ht="30" hidden="1" customHeight="1">
      <c r="A36" s="16" t="s">
        <v>8</v>
      </c>
      <c r="B36" s="7" t="s">
        <v>14</v>
      </c>
      <c r="C36" s="17"/>
      <c r="D36" s="24"/>
      <c r="E36" s="8">
        <f>MIN(E37:E39)</f>
        <v>0</v>
      </c>
      <c r="F36" s="8">
        <f>MAX(F37:F39)</f>
        <v>0</v>
      </c>
      <c r="G36" s="9">
        <f>SUM(G37:G39)</f>
        <v>0</v>
      </c>
      <c r="H36" s="49"/>
    </row>
    <row r="37" spans="1:8" s="1" customFormat="1" hidden="1">
      <c r="A37" s="38">
        <v>1</v>
      </c>
      <c r="B37" s="39"/>
      <c r="C37" s="40"/>
      <c r="D37" s="41"/>
      <c r="E37" s="42"/>
      <c r="F37" s="42"/>
      <c r="G37" s="43"/>
      <c r="H37" s="46"/>
    </row>
    <row r="38" spans="1:8" s="1" customFormat="1" hidden="1">
      <c r="A38" s="10">
        <f>A37+1</f>
        <v>2</v>
      </c>
      <c r="B38" s="3"/>
      <c r="C38" s="4"/>
      <c r="D38" s="11"/>
      <c r="E38" s="12"/>
      <c r="F38" s="12"/>
      <c r="G38" s="13"/>
      <c r="H38" s="48"/>
    </row>
    <row r="39" spans="1:8" s="1" customFormat="1" hidden="1">
      <c r="A39" s="10">
        <f t="shared" si="6"/>
        <v>3</v>
      </c>
      <c r="B39" s="14"/>
      <c r="C39" s="15"/>
      <c r="D39" s="11"/>
      <c r="E39" s="12"/>
      <c r="F39" s="12"/>
      <c r="G39" s="13"/>
      <c r="H39" s="48"/>
    </row>
    <row r="40" spans="1:8" s="1" customFormat="1" ht="30" hidden="1" customHeight="1">
      <c r="A40" s="16" t="s">
        <v>9</v>
      </c>
      <c r="B40" s="7" t="s">
        <v>15</v>
      </c>
      <c r="C40" s="17"/>
      <c r="D40" s="24"/>
      <c r="E40" s="8">
        <f>MIN(E41:E43)</f>
        <v>0</v>
      </c>
      <c r="F40" s="8">
        <f>MAX(F41:F43)</f>
        <v>0</v>
      </c>
      <c r="G40" s="9">
        <f>SUM(G41:G43)</f>
        <v>0</v>
      </c>
      <c r="H40" s="49"/>
    </row>
    <row r="41" spans="1:8" s="1" customFormat="1" hidden="1">
      <c r="A41" s="38">
        <v>1</v>
      </c>
      <c r="B41" s="44"/>
      <c r="C41" s="45"/>
      <c r="D41" s="41"/>
      <c r="E41" s="42"/>
      <c r="F41" s="42"/>
      <c r="G41" s="43"/>
      <c r="H41" s="46"/>
    </row>
    <row r="42" spans="1:8" s="1" customFormat="1" hidden="1">
      <c r="A42" s="10">
        <f>A41+1</f>
        <v>2</v>
      </c>
      <c r="B42" s="3"/>
      <c r="C42" s="4"/>
      <c r="D42" s="11"/>
      <c r="E42" s="12"/>
      <c r="F42" s="12"/>
      <c r="G42" s="13"/>
      <c r="H42" s="48"/>
    </row>
    <row r="43" spans="1:8" s="1" customFormat="1" hidden="1">
      <c r="A43" s="10">
        <f t="shared" ref="A43" si="8">A42+1</f>
        <v>3</v>
      </c>
      <c r="B43" s="3"/>
      <c r="C43" s="4"/>
      <c r="D43" s="11"/>
      <c r="E43" s="12"/>
      <c r="F43" s="12"/>
      <c r="G43" s="13"/>
      <c r="H43" s="48"/>
    </row>
    <row r="44" spans="1:8">
      <c r="B44" s="18"/>
      <c r="C44" s="18"/>
      <c r="D44" s="25"/>
      <c r="E44" s="19"/>
      <c r="F44" s="19"/>
    </row>
    <row r="45" spans="1:8">
      <c r="B45" s="18"/>
      <c r="C45" s="18"/>
      <c r="D45" s="25"/>
      <c r="E45" s="19"/>
      <c r="F45" s="19"/>
    </row>
    <row r="46" spans="1:8">
      <c r="B46" s="18"/>
      <c r="C46" s="18"/>
      <c r="D46" s="26"/>
      <c r="E46" s="19"/>
      <c r="F46" s="19"/>
    </row>
    <row r="47" spans="1:8">
      <c r="B47" s="18"/>
      <c r="C47" s="18"/>
      <c r="D47" s="26"/>
      <c r="E47" s="19"/>
      <c r="F47" s="19"/>
    </row>
    <row r="48" spans="1:8">
      <c r="B48" s="18"/>
      <c r="C48" s="18"/>
      <c r="D48" s="26"/>
      <c r="E48" s="19"/>
      <c r="F48" s="19"/>
    </row>
    <row r="49" spans="2:6">
      <c r="B49" s="18"/>
      <c r="C49" s="18"/>
      <c r="D49" s="26"/>
      <c r="E49" s="19"/>
      <c r="F49" s="19"/>
    </row>
    <row r="50" spans="2:6">
      <c r="B50" s="18"/>
      <c r="C50" s="18"/>
      <c r="D50" s="26"/>
      <c r="E50" s="19"/>
      <c r="F50" s="19"/>
    </row>
    <row r="51" spans="2:6">
      <c r="B51" s="18"/>
      <c r="C51" s="18"/>
      <c r="D51" s="26"/>
      <c r="E51" s="19"/>
      <c r="F51" s="19"/>
    </row>
    <row r="52" spans="2:6">
      <c r="B52" s="18"/>
      <c r="C52" s="18"/>
      <c r="D52" s="26"/>
      <c r="E52" s="19"/>
      <c r="F52" s="19"/>
    </row>
    <row r="53" spans="2:6">
      <c r="B53" s="18"/>
      <c r="C53" s="18"/>
      <c r="D53" s="26"/>
      <c r="E53" s="19"/>
      <c r="F53" s="19"/>
    </row>
    <row r="54" spans="2:6">
      <c r="B54" s="18"/>
      <c r="C54" s="18"/>
      <c r="D54" s="26"/>
      <c r="E54" s="19"/>
      <c r="F54" s="19"/>
    </row>
    <row r="55" spans="2:6">
      <c r="B55" s="18"/>
      <c r="C55" s="18"/>
      <c r="D55" s="26"/>
      <c r="E55" s="19"/>
      <c r="F55" s="19"/>
    </row>
    <row r="56" spans="2:6">
      <c r="B56" s="18"/>
      <c r="C56" s="18"/>
      <c r="D56" s="26"/>
      <c r="E56" s="19"/>
      <c r="F56" s="19"/>
    </row>
    <row r="57" spans="2:6">
      <c r="B57" s="18"/>
      <c r="C57" s="18"/>
      <c r="D57" s="26"/>
      <c r="E57" s="19"/>
      <c r="F57" s="19"/>
    </row>
    <row r="58" spans="2:6">
      <c r="B58" s="18"/>
      <c r="C58" s="18"/>
      <c r="D58" s="26"/>
      <c r="E58" s="19"/>
      <c r="F58" s="19"/>
    </row>
    <row r="59" spans="2:6">
      <c r="B59" s="18"/>
      <c r="C59" s="18"/>
      <c r="D59" s="26"/>
      <c r="E59" s="19"/>
      <c r="F59" s="19"/>
    </row>
    <row r="60" spans="2:6">
      <c r="B60" s="18"/>
      <c r="C60" s="18"/>
      <c r="D60" s="26"/>
      <c r="E60" s="19"/>
      <c r="F60" s="19"/>
    </row>
    <row r="61" spans="2:6">
      <c r="B61" s="18"/>
      <c r="C61" s="18"/>
      <c r="D61" s="26"/>
      <c r="E61" s="19"/>
      <c r="F61" s="19"/>
    </row>
    <row r="62" spans="2:6">
      <c r="B62" s="18"/>
      <c r="C62" s="18"/>
      <c r="D62" s="26"/>
      <c r="E62" s="19"/>
      <c r="F62" s="19"/>
    </row>
    <row r="63" spans="2:6">
      <c r="B63" s="18"/>
      <c r="C63" s="18"/>
      <c r="D63" s="26"/>
      <c r="E63" s="19"/>
      <c r="F63" s="19"/>
    </row>
    <row r="64" spans="2:6">
      <c r="B64" s="18"/>
      <c r="C64" s="18"/>
      <c r="D64" s="26"/>
      <c r="E64" s="19"/>
      <c r="F64" s="19"/>
    </row>
    <row r="65" spans="2:6">
      <c r="B65" s="18"/>
      <c r="C65" s="18"/>
      <c r="D65" s="26"/>
      <c r="E65" s="19"/>
      <c r="F65" s="19"/>
    </row>
    <row r="66" spans="2:6">
      <c r="B66" s="18"/>
      <c r="C66" s="18"/>
      <c r="D66" s="26"/>
      <c r="E66" s="19"/>
      <c r="F66" s="19"/>
    </row>
    <row r="67" spans="2:6">
      <c r="B67" s="18"/>
      <c r="C67" s="18"/>
      <c r="D67" s="26"/>
      <c r="E67" s="19"/>
      <c r="F67" s="19"/>
    </row>
    <row r="68" spans="2:6">
      <c r="B68" s="18"/>
      <c r="C68" s="18"/>
      <c r="D68" s="26"/>
      <c r="E68" s="19"/>
      <c r="F68" s="19"/>
    </row>
    <row r="69" spans="2:6">
      <c r="B69" s="18"/>
      <c r="C69" s="18"/>
      <c r="D69" s="26"/>
      <c r="E69" s="19"/>
      <c r="F69" s="19"/>
    </row>
    <row r="70" spans="2:6">
      <c r="B70" s="18"/>
      <c r="C70" s="18"/>
      <c r="D70" s="26"/>
      <c r="E70" s="19"/>
      <c r="F70" s="19"/>
    </row>
  </sheetData>
  <mergeCells count="2">
    <mergeCell ref="A1:B4"/>
    <mergeCell ref="C4:H4"/>
  </mergeCells>
  <printOptions horizontalCentered="1"/>
  <pageMargins left="0.4" right="0.4" top="0.4" bottom="0.4" header="0.2" footer="0.2"/>
  <pageSetup paperSize="9" scale="42" orientation="portrait" r:id="rId1"/>
  <headerFooter>
    <oddFooter>Page &amp;P of &amp;N</oddFooter>
  </headerFooter>
  <rowBreaks count="1" manualBreakCount="1">
    <brk id="44" max="7"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heetPr>
  <dimension ref="A1:H75"/>
  <sheetViews>
    <sheetView view="pageBreakPreview" zoomScale="90" zoomScaleNormal="100" zoomScaleSheetLayoutView="90" workbookViewId="0">
      <selection activeCell="G15" sqref="G15"/>
    </sheetView>
  </sheetViews>
  <sheetFormatPr defaultColWidth="9.140625" defaultRowHeight="15" outlineLevelRow="1"/>
  <cols>
    <col min="1" max="1" width="6.7109375" style="5" customWidth="1"/>
    <col min="2" max="2" width="80.7109375" style="20" customWidth="1"/>
    <col min="3" max="3" width="20.28515625" style="20" customWidth="1"/>
    <col min="4" max="4" width="12" style="27" bestFit="1" customWidth="1"/>
    <col min="5" max="5" width="15" style="21" bestFit="1" customWidth="1"/>
    <col min="6" max="6" width="13" style="21" bestFit="1" customWidth="1"/>
    <col min="7" max="7" width="16.7109375" style="5" bestFit="1" customWidth="1"/>
    <col min="8" max="8" width="55.7109375" style="5" customWidth="1"/>
    <col min="9" max="16384" width="9.140625" style="5"/>
  </cols>
  <sheetData>
    <row r="1" spans="1:8" ht="25.15" customHeight="1">
      <c r="A1" s="196" t="s">
        <v>17</v>
      </c>
      <c r="B1" s="197"/>
      <c r="C1" s="32" t="s">
        <v>10</v>
      </c>
      <c r="D1" s="29"/>
      <c r="E1" s="28"/>
      <c r="F1" s="28"/>
      <c r="G1" s="33"/>
      <c r="H1" s="34"/>
    </row>
    <row r="2" spans="1:8" ht="25.15" customHeight="1">
      <c r="A2" s="198"/>
      <c r="B2" s="199"/>
      <c r="C2" s="35" t="s">
        <v>40</v>
      </c>
      <c r="D2" s="31"/>
      <c r="E2" s="30"/>
      <c r="F2" s="30"/>
      <c r="G2" s="36"/>
      <c r="H2" s="37"/>
    </row>
    <row r="3" spans="1:8" ht="25.15" customHeight="1">
      <c r="A3" s="198"/>
      <c r="B3" s="199"/>
      <c r="C3" s="79" t="s">
        <v>49</v>
      </c>
      <c r="D3" s="31"/>
      <c r="E3" s="30"/>
      <c r="F3" s="30"/>
      <c r="G3" s="36"/>
      <c r="H3" s="37"/>
    </row>
    <row r="4" spans="1:8" ht="30" customHeight="1">
      <c r="A4" s="200"/>
      <c r="B4" s="201"/>
      <c r="C4" s="202" t="s">
        <v>50</v>
      </c>
      <c r="D4" s="203"/>
      <c r="E4" s="203"/>
      <c r="F4" s="203"/>
      <c r="G4" s="203"/>
      <c r="H4" s="204"/>
    </row>
    <row r="5" spans="1:8" s="6" customFormat="1" ht="60" customHeight="1">
      <c r="A5" s="22" t="s">
        <v>0</v>
      </c>
      <c r="B5" s="22" t="s">
        <v>1</v>
      </c>
      <c r="C5" s="22" t="s">
        <v>16</v>
      </c>
      <c r="D5" s="23" t="s">
        <v>4</v>
      </c>
      <c r="E5" s="22" t="s">
        <v>2</v>
      </c>
      <c r="F5" s="22" t="s">
        <v>3</v>
      </c>
      <c r="G5" s="22" t="s">
        <v>19</v>
      </c>
      <c r="H5" s="22" t="s">
        <v>18</v>
      </c>
    </row>
    <row r="6" spans="1:8" s="1" customFormat="1" ht="60" customHeight="1">
      <c r="A6" s="73" t="s">
        <v>42</v>
      </c>
      <c r="B6" s="74" t="s">
        <v>45</v>
      </c>
      <c r="C6" s="75"/>
      <c r="D6" s="76"/>
      <c r="E6" s="77">
        <f>MIN(E7:E13)</f>
        <v>45216</v>
      </c>
      <c r="F6" s="77">
        <f>MAX(F7:F13)</f>
        <v>45260</v>
      </c>
      <c r="G6" s="78">
        <f>F6-E6</f>
        <v>44</v>
      </c>
      <c r="H6" s="78"/>
    </row>
    <row r="7" spans="1:8" s="1" customFormat="1" ht="37.9" customHeight="1">
      <c r="A7" s="82">
        <v>1</v>
      </c>
      <c r="B7" s="50" t="s">
        <v>44</v>
      </c>
      <c r="C7" s="13" t="s">
        <v>20</v>
      </c>
      <c r="D7" s="61">
        <v>1</v>
      </c>
      <c r="E7" s="62">
        <v>45216</v>
      </c>
      <c r="F7" s="62">
        <f>E7+G7-1</f>
        <v>45232</v>
      </c>
      <c r="G7" s="68">
        <v>17</v>
      </c>
      <c r="H7" s="63"/>
    </row>
    <row r="8" spans="1:8" s="57" customFormat="1" ht="75">
      <c r="A8" s="83">
        <v>2</v>
      </c>
      <c r="B8" s="69" t="s">
        <v>28</v>
      </c>
      <c r="C8" s="70" t="s">
        <v>20</v>
      </c>
      <c r="D8" s="71">
        <v>0.6</v>
      </c>
      <c r="E8" s="53">
        <v>45238</v>
      </c>
      <c r="F8" s="64">
        <f>E8+G8-1</f>
        <v>45246</v>
      </c>
      <c r="G8" s="81">
        <v>9</v>
      </c>
      <c r="H8" s="56" t="s">
        <v>25</v>
      </c>
    </row>
    <row r="9" spans="1:8" s="1" customFormat="1">
      <c r="A9" s="84">
        <f t="shared" ref="A9:A47" si="0">A8+1</f>
        <v>3</v>
      </c>
      <c r="B9" s="14" t="s">
        <v>123</v>
      </c>
      <c r="C9" s="15" t="s">
        <v>20</v>
      </c>
      <c r="D9" s="11">
        <v>1</v>
      </c>
      <c r="E9" s="12">
        <f>F8+1</f>
        <v>45247</v>
      </c>
      <c r="F9" s="12">
        <f t="shared" ref="F9:F13" si="1">E9+G9-1</f>
        <v>45247</v>
      </c>
      <c r="G9" s="68">
        <v>1</v>
      </c>
      <c r="H9" s="15"/>
    </row>
    <row r="10" spans="1:8" s="1" customFormat="1" ht="46.15" customHeight="1">
      <c r="A10" s="84">
        <f t="shared" si="0"/>
        <v>4</v>
      </c>
      <c r="B10" s="14" t="s">
        <v>37</v>
      </c>
      <c r="C10" s="15" t="s">
        <v>21</v>
      </c>
      <c r="D10" s="11">
        <v>1</v>
      </c>
      <c r="E10" s="12">
        <f t="shared" ref="E10:E12" si="2">F9+1</f>
        <v>45248</v>
      </c>
      <c r="F10" s="12">
        <f t="shared" si="1"/>
        <v>45250</v>
      </c>
      <c r="G10" s="68">
        <v>3</v>
      </c>
      <c r="H10" s="47" t="s">
        <v>43</v>
      </c>
    </row>
    <row r="11" spans="1:8" s="1" customFormat="1" ht="57" customHeight="1">
      <c r="A11" s="84">
        <f t="shared" si="0"/>
        <v>5</v>
      </c>
      <c r="B11" s="14" t="s">
        <v>29</v>
      </c>
      <c r="C11" s="15" t="s">
        <v>20</v>
      </c>
      <c r="D11" s="11"/>
      <c r="E11" s="12">
        <f t="shared" si="2"/>
        <v>45251</v>
      </c>
      <c r="F11" s="12">
        <f t="shared" si="1"/>
        <v>45252</v>
      </c>
      <c r="G11" s="68">
        <v>2</v>
      </c>
      <c r="H11" s="47"/>
    </row>
    <row r="12" spans="1:8" s="1" customFormat="1" ht="57" customHeight="1">
      <c r="A12" s="84">
        <f t="shared" si="0"/>
        <v>6</v>
      </c>
      <c r="B12" s="14" t="s">
        <v>35</v>
      </c>
      <c r="C12" s="15" t="s">
        <v>20</v>
      </c>
      <c r="D12" s="11"/>
      <c r="E12" s="12">
        <f t="shared" si="2"/>
        <v>45253</v>
      </c>
      <c r="F12" s="12">
        <f t="shared" si="1"/>
        <v>45254</v>
      </c>
      <c r="G12" s="68">
        <v>2</v>
      </c>
      <c r="H12" s="47"/>
    </row>
    <row r="13" spans="1:8" s="57" customFormat="1" ht="70.5" customHeight="1">
      <c r="A13" s="85">
        <f t="shared" si="0"/>
        <v>7</v>
      </c>
      <c r="B13" s="52" t="s">
        <v>30</v>
      </c>
      <c r="C13" s="54" t="s">
        <v>20</v>
      </c>
      <c r="D13" s="55"/>
      <c r="E13" s="51">
        <f>F12</f>
        <v>45254</v>
      </c>
      <c r="F13" s="80">
        <f t="shared" si="1"/>
        <v>45260</v>
      </c>
      <c r="G13" s="54">
        <v>7</v>
      </c>
      <c r="H13" s="58" t="s">
        <v>23</v>
      </c>
    </row>
    <row r="14" spans="1:8" s="1" customFormat="1" ht="27" customHeight="1">
      <c r="A14" s="82"/>
      <c r="B14" s="50"/>
      <c r="C14" s="13"/>
      <c r="D14" s="61"/>
      <c r="E14" s="62"/>
      <c r="F14" s="86"/>
      <c r="G14" s="13"/>
      <c r="H14" s="63"/>
    </row>
    <row r="15" spans="1:8" s="1" customFormat="1" ht="60" customHeight="1">
      <c r="A15" s="73" t="s">
        <v>5</v>
      </c>
      <c r="B15" s="74" t="s">
        <v>46</v>
      </c>
      <c r="C15" s="75"/>
      <c r="D15" s="76"/>
      <c r="E15" s="77">
        <f>MIN(E16:E47)</f>
        <v>45248</v>
      </c>
      <c r="F15" s="77">
        <f>MAX(F16:F47)</f>
        <v>45286</v>
      </c>
      <c r="G15" s="78">
        <f>F15-E15</f>
        <v>38</v>
      </c>
      <c r="H15" s="78"/>
    </row>
    <row r="16" spans="1:8" s="1" customFormat="1" ht="76.5" customHeight="1">
      <c r="A16" s="84">
        <v>1</v>
      </c>
      <c r="B16" s="65" t="s">
        <v>38</v>
      </c>
      <c r="C16" s="68" t="s">
        <v>20</v>
      </c>
      <c r="D16" s="66"/>
      <c r="E16" s="67">
        <f>F9+1</f>
        <v>45248</v>
      </c>
      <c r="F16" s="67">
        <f t="shared" ref="F16:F17" si="3">E16+G16-1</f>
        <v>45248</v>
      </c>
      <c r="G16" s="68">
        <v>1</v>
      </c>
      <c r="H16" s="47" t="s">
        <v>24</v>
      </c>
    </row>
    <row r="17" spans="1:8" s="1" customFormat="1" ht="30">
      <c r="A17" s="84">
        <v>2</v>
      </c>
      <c r="B17" s="14" t="s">
        <v>31</v>
      </c>
      <c r="C17" s="15" t="s">
        <v>21</v>
      </c>
      <c r="D17" s="11"/>
      <c r="E17" s="12">
        <f>F16+1</f>
        <v>45249</v>
      </c>
      <c r="F17" s="12">
        <f t="shared" si="3"/>
        <v>45255</v>
      </c>
      <c r="G17" s="68">
        <v>7</v>
      </c>
      <c r="H17" s="47"/>
    </row>
    <row r="18" spans="1:8" s="1" customFormat="1" ht="30" customHeight="1" outlineLevel="1">
      <c r="A18" s="87" t="s">
        <v>55</v>
      </c>
      <c r="B18" s="88" t="s">
        <v>52</v>
      </c>
      <c r="C18" s="89" t="s">
        <v>51</v>
      </c>
      <c r="D18" s="90">
        <v>1</v>
      </c>
      <c r="E18" s="91">
        <v>45250</v>
      </c>
      <c r="F18" s="91">
        <v>45250</v>
      </c>
      <c r="G18" s="92" t="s">
        <v>54</v>
      </c>
      <c r="H18" s="205" t="s">
        <v>91</v>
      </c>
    </row>
    <row r="19" spans="1:8" s="1" customFormat="1" ht="30" outlineLevel="1">
      <c r="A19" s="87" t="s">
        <v>56</v>
      </c>
      <c r="B19" s="88" t="s">
        <v>69</v>
      </c>
      <c r="C19" s="95" t="s">
        <v>65</v>
      </c>
      <c r="D19" s="90">
        <v>1</v>
      </c>
      <c r="E19" s="91">
        <v>45250</v>
      </c>
      <c r="F19" s="91">
        <v>45250</v>
      </c>
      <c r="G19" s="92" t="s">
        <v>53</v>
      </c>
      <c r="H19" s="206"/>
    </row>
    <row r="20" spans="1:8" s="1" customFormat="1" ht="30" outlineLevel="1">
      <c r="A20" s="87" t="s">
        <v>57</v>
      </c>
      <c r="B20" s="88" t="s">
        <v>71</v>
      </c>
      <c r="C20" s="95" t="s">
        <v>68</v>
      </c>
      <c r="D20" s="90">
        <v>1</v>
      </c>
      <c r="E20" s="91">
        <v>45250</v>
      </c>
      <c r="F20" s="91">
        <v>45250</v>
      </c>
      <c r="G20" s="92" t="s">
        <v>53</v>
      </c>
      <c r="H20" s="206"/>
    </row>
    <row r="21" spans="1:8" s="1" customFormat="1" outlineLevel="1">
      <c r="A21" s="87" t="s">
        <v>58</v>
      </c>
      <c r="B21" s="88" t="s">
        <v>66</v>
      </c>
      <c r="C21" s="89" t="s">
        <v>67</v>
      </c>
      <c r="D21" s="90">
        <v>1</v>
      </c>
      <c r="E21" s="91">
        <v>45250</v>
      </c>
      <c r="F21" s="91">
        <v>45250</v>
      </c>
      <c r="G21" s="92" t="s">
        <v>53</v>
      </c>
      <c r="H21" s="206"/>
    </row>
    <row r="22" spans="1:8" s="1" customFormat="1" ht="30" outlineLevel="1">
      <c r="A22" s="87" t="s">
        <v>59</v>
      </c>
      <c r="B22" s="88" t="s">
        <v>70</v>
      </c>
      <c r="C22" s="95" t="s">
        <v>65</v>
      </c>
      <c r="D22" s="90">
        <v>1</v>
      </c>
      <c r="E22" s="91">
        <v>45250</v>
      </c>
      <c r="F22" s="91">
        <v>45250</v>
      </c>
      <c r="G22" s="92" t="s">
        <v>53</v>
      </c>
      <c r="H22" s="207"/>
    </row>
    <row r="23" spans="1:8" s="1" customFormat="1" ht="30" outlineLevel="1">
      <c r="A23" s="87" t="s">
        <v>60</v>
      </c>
      <c r="B23" s="88" t="s">
        <v>115</v>
      </c>
      <c r="C23" s="95" t="s">
        <v>65</v>
      </c>
      <c r="D23" s="90">
        <v>1</v>
      </c>
      <c r="E23" s="91">
        <v>45251</v>
      </c>
      <c r="F23" s="91">
        <v>45253</v>
      </c>
      <c r="G23" s="92" t="s">
        <v>90</v>
      </c>
      <c r="H23" s="93"/>
    </row>
    <row r="24" spans="1:8" s="1" customFormat="1" ht="45" outlineLevel="1">
      <c r="A24" s="87" t="s">
        <v>61</v>
      </c>
      <c r="B24" s="88" t="s">
        <v>116</v>
      </c>
      <c r="C24" s="95" t="s">
        <v>72</v>
      </c>
      <c r="D24" s="90">
        <v>1</v>
      </c>
      <c r="E24" s="91">
        <v>45253</v>
      </c>
      <c r="F24" s="91">
        <v>45253</v>
      </c>
      <c r="G24" s="92" t="s">
        <v>89</v>
      </c>
      <c r="H24" s="94" t="s">
        <v>83</v>
      </c>
    </row>
    <row r="25" spans="1:8" s="1" customFormat="1" ht="30" outlineLevel="1">
      <c r="A25" s="87" t="s">
        <v>62</v>
      </c>
      <c r="B25" s="88" t="s">
        <v>131</v>
      </c>
      <c r="C25" s="95" t="s">
        <v>72</v>
      </c>
      <c r="D25" s="90">
        <v>1</v>
      </c>
      <c r="E25" s="91">
        <v>45254</v>
      </c>
      <c r="F25" s="91">
        <v>45254</v>
      </c>
      <c r="G25" s="92" t="s">
        <v>84</v>
      </c>
      <c r="H25" s="94"/>
    </row>
    <row r="26" spans="1:8" s="1" customFormat="1" ht="30" outlineLevel="1">
      <c r="A26" s="87" t="s">
        <v>63</v>
      </c>
      <c r="B26" s="88" t="s">
        <v>117</v>
      </c>
      <c r="C26" s="95" t="s">
        <v>85</v>
      </c>
      <c r="D26" s="90">
        <v>1</v>
      </c>
      <c r="E26" s="91">
        <v>45254</v>
      </c>
      <c r="F26" s="91">
        <v>45254</v>
      </c>
      <c r="G26" s="92" t="s">
        <v>86</v>
      </c>
      <c r="H26" s="94"/>
    </row>
    <row r="27" spans="1:8" s="1" customFormat="1" ht="30" customHeight="1" outlineLevel="1">
      <c r="A27" s="87" t="s">
        <v>64</v>
      </c>
      <c r="B27" s="88" t="s">
        <v>87</v>
      </c>
      <c r="C27" s="95" t="s">
        <v>72</v>
      </c>
      <c r="D27" s="90">
        <v>1</v>
      </c>
      <c r="E27" s="91">
        <v>45254</v>
      </c>
      <c r="F27" s="91">
        <v>45254</v>
      </c>
      <c r="G27" s="92" t="s">
        <v>88</v>
      </c>
      <c r="H27" s="94"/>
    </row>
    <row r="28" spans="1:8" s="1" customFormat="1" outlineLevel="1">
      <c r="A28" s="87" t="s">
        <v>92</v>
      </c>
      <c r="B28" s="88" t="s">
        <v>128</v>
      </c>
      <c r="C28" s="95" t="s">
        <v>72</v>
      </c>
      <c r="D28" s="90">
        <v>1</v>
      </c>
      <c r="E28" s="91">
        <v>45255</v>
      </c>
      <c r="F28" s="91">
        <v>45255</v>
      </c>
      <c r="G28" s="92" t="s">
        <v>84</v>
      </c>
      <c r="H28" s="94"/>
    </row>
    <row r="29" spans="1:8" s="1" customFormat="1" ht="30" outlineLevel="1">
      <c r="A29" s="87" t="s">
        <v>93</v>
      </c>
      <c r="B29" s="88" t="s">
        <v>98</v>
      </c>
      <c r="C29" s="95" t="s">
        <v>20</v>
      </c>
      <c r="D29" s="90">
        <v>1</v>
      </c>
      <c r="E29" s="91">
        <v>45253</v>
      </c>
      <c r="F29" s="91">
        <v>45253</v>
      </c>
      <c r="G29" s="92" t="s">
        <v>97</v>
      </c>
      <c r="H29" s="94"/>
    </row>
    <row r="30" spans="1:8" s="1" customFormat="1" ht="30" outlineLevel="1">
      <c r="A30" s="87" t="s">
        <v>94</v>
      </c>
      <c r="B30" s="114" t="s">
        <v>132</v>
      </c>
      <c r="C30" s="95" t="s">
        <v>99</v>
      </c>
      <c r="D30" s="90">
        <v>1</v>
      </c>
      <c r="E30" s="91">
        <v>45254</v>
      </c>
      <c r="F30" s="91">
        <v>45254</v>
      </c>
      <c r="G30" s="92" t="s">
        <v>100</v>
      </c>
      <c r="H30" s="94"/>
    </row>
    <row r="31" spans="1:8" s="1" customFormat="1" ht="30" customHeight="1" outlineLevel="1">
      <c r="A31" s="87" t="s">
        <v>95</v>
      </c>
      <c r="B31" s="88" t="s">
        <v>129</v>
      </c>
      <c r="C31" s="95" t="s">
        <v>101</v>
      </c>
      <c r="D31" s="90">
        <v>1</v>
      </c>
      <c r="E31" s="91">
        <v>45255</v>
      </c>
      <c r="F31" s="91">
        <v>45255</v>
      </c>
      <c r="G31" s="92" t="s">
        <v>102</v>
      </c>
      <c r="H31" s="94"/>
    </row>
    <row r="32" spans="1:8" s="1" customFormat="1" ht="30" outlineLevel="1">
      <c r="A32" s="87" t="s">
        <v>96</v>
      </c>
      <c r="B32" s="114" t="s">
        <v>133</v>
      </c>
      <c r="C32" s="95" t="s">
        <v>101</v>
      </c>
      <c r="D32" s="90"/>
      <c r="E32" s="91">
        <v>45257</v>
      </c>
      <c r="F32" s="91">
        <v>45257</v>
      </c>
      <c r="G32" s="92" t="s">
        <v>103</v>
      </c>
      <c r="H32" s="114" t="s">
        <v>125</v>
      </c>
    </row>
    <row r="33" spans="1:8" s="1" customFormat="1" ht="45" outlineLevel="1">
      <c r="A33" s="87" t="s">
        <v>109</v>
      </c>
      <c r="B33" s="88" t="s">
        <v>118</v>
      </c>
      <c r="C33" s="95" t="s">
        <v>65</v>
      </c>
      <c r="D33" s="90">
        <v>1</v>
      </c>
      <c r="E33" s="91">
        <v>45255</v>
      </c>
      <c r="F33" s="91">
        <v>45255</v>
      </c>
      <c r="G33" s="92" t="s">
        <v>104</v>
      </c>
      <c r="H33" s="94" t="s">
        <v>105</v>
      </c>
    </row>
    <row r="34" spans="1:8" s="1" customFormat="1" ht="30" outlineLevel="1">
      <c r="A34" s="87" t="s">
        <v>110</v>
      </c>
      <c r="B34" s="88" t="s">
        <v>130</v>
      </c>
      <c r="C34" s="95" t="s">
        <v>72</v>
      </c>
      <c r="D34" s="116" t="s">
        <v>127</v>
      </c>
      <c r="E34" s="91">
        <v>45255</v>
      </c>
      <c r="F34" s="91">
        <v>45255</v>
      </c>
      <c r="G34" s="92" t="s">
        <v>88</v>
      </c>
      <c r="H34" s="94"/>
    </row>
    <row r="35" spans="1:8" s="1" customFormat="1" ht="30" outlineLevel="1">
      <c r="A35" s="87" t="s">
        <v>111</v>
      </c>
      <c r="B35" s="88" t="s">
        <v>107</v>
      </c>
      <c r="C35" s="95" t="s">
        <v>20</v>
      </c>
      <c r="D35" s="116" t="s">
        <v>127</v>
      </c>
      <c r="E35" s="91">
        <v>45256</v>
      </c>
      <c r="F35" s="91">
        <v>45256</v>
      </c>
      <c r="G35" s="92"/>
      <c r="H35" s="94"/>
    </row>
    <row r="36" spans="1:8" s="1" customFormat="1" ht="30" outlineLevel="1">
      <c r="A36" s="87" t="s">
        <v>112</v>
      </c>
      <c r="B36" s="88" t="s">
        <v>108</v>
      </c>
      <c r="C36" s="95" t="s">
        <v>65</v>
      </c>
      <c r="D36" s="116" t="s">
        <v>127</v>
      </c>
      <c r="E36" s="91">
        <v>45256</v>
      </c>
      <c r="F36" s="91">
        <v>45256</v>
      </c>
      <c r="G36" s="92"/>
      <c r="H36" s="94"/>
    </row>
    <row r="37" spans="1:8" s="1" customFormat="1" ht="45" outlineLevel="1">
      <c r="A37" s="87" t="s">
        <v>113</v>
      </c>
      <c r="B37" s="88" t="s">
        <v>106</v>
      </c>
      <c r="C37" s="95" t="s">
        <v>65</v>
      </c>
      <c r="D37" s="116" t="s">
        <v>127</v>
      </c>
      <c r="E37" s="91">
        <v>45256</v>
      </c>
      <c r="F37" s="91">
        <v>45256</v>
      </c>
      <c r="G37" s="92" t="s">
        <v>104</v>
      </c>
      <c r="H37" s="94" t="s">
        <v>83</v>
      </c>
    </row>
    <row r="38" spans="1:8" s="1" customFormat="1" ht="45" outlineLevel="1">
      <c r="A38" s="87" t="s">
        <v>114</v>
      </c>
      <c r="B38" s="88" t="s">
        <v>134</v>
      </c>
      <c r="C38" s="95" t="s">
        <v>72</v>
      </c>
      <c r="D38" s="90">
        <v>1</v>
      </c>
      <c r="E38" s="91">
        <v>45256</v>
      </c>
      <c r="F38" s="91">
        <v>45256</v>
      </c>
      <c r="G38" s="92" t="s">
        <v>88</v>
      </c>
      <c r="H38" s="115" t="s">
        <v>126</v>
      </c>
    </row>
    <row r="39" spans="1:8" s="1" customFormat="1" ht="30" outlineLevel="1">
      <c r="A39" s="87" t="s">
        <v>120</v>
      </c>
      <c r="B39" s="114" t="s">
        <v>138</v>
      </c>
      <c r="C39" s="95" t="s">
        <v>101</v>
      </c>
      <c r="D39" s="90"/>
      <c r="E39" s="91">
        <v>45257</v>
      </c>
      <c r="F39" s="91">
        <v>45257</v>
      </c>
      <c r="G39" s="92" t="s">
        <v>102</v>
      </c>
      <c r="H39" s="93"/>
    </row>
    <row r="40" spans="1:8" s="1" customFormat="1" ht="30" outlineLevel="1">
      <c r="A40" s="87" t="s">
        <v>121</v>
      </c>
      <c r="B40" s="88" t="s">
        <v>119</v>
      </c>
      <c r="C40" s="95" t="s">
        <v>65</v>
      </c>
      <c r="D40" s="90"/>
      <c r="E40" s="91">
        <v>45257</v>
      </c>
      <c r="F40" s="91">
        <v>45260</v>
      </c>
      <c r="G40" s="92">
        <v>3</v>
      </c>
      <c r="H40" s="93" t="s">
        <v>124</v>
      </c>
    </row>
    <row r="41" spans="1:8" s="1" customFormat="1" ht="30" outlineLevel="1">
      <c r="A41" s="87" t="s">
        <v>122</v>
      </c>
      <c r="B41" s="88" t="s">
        <v>135</v>
      </c>
      <c r="C41" s="95" t="s">
        <v>72</v>
      </c>
      <c r="D41" s="90"/>
      <c r="E41" s="91">
        <v>45260</v>
      </c>
      <c r="F41" s="91">
        <v>45260</v>
      </c>
      <c r="G41" s="92"/>
      <c r="H41" s="93"/>
    </row>
    <row r="42" spans="1:8" s="1" customFormat="1" ht="42" customHeight="1">
      <c r="A42" s="84">
        <v>3</v>
      </c>
      <c r="B42" s="14" t="s">
        <v>47</v>
      </c>
      <c r="C42" s="15" t="s">
        <v>20</v>
      </c>
      <c r="D42" s="11"/>
      <c r="E42" s="12">
        <f>E17+1</f>
        <v>45250</v>
      </c>
      <c r="F42" s="12">
        <f t="shared" ref="F42:F47" si="4">E42+G42-1</f>
        <v>45261</v>
      </c>
      <c r="G42" s="68">
        <v>12</v>
      </c>
      <c r="H42" s="47"/>
    </row>
    <row r="43" spans="1:8" s="1" customFormat="1" ht="45">
      <c r="A43" s="84">
        <f t="shared" si="0"/>
        <v>4</v>
      </c>
      <c r="B43" s="14" t="s">
        <v>48</v>
      </c>
      <c r="C43" s="15" t="s">
        <v>20</v>
      </c>
      <c r="D43" s="11"/>
      <c r="E43" s="12">
        <f>F42+1</f>
        <v>45262</v>
      </c>
      <c r="F43" s="12">
        <f t="shared" si="4"/>
        <v>45263</v>
      </c>
      <c r="G43" s="68">
        <v>2</v>
      </c>
      <c r="H43" s="59" t="s">
        <v>24</v>
      </c>
    </row>
    <row r="44" spans="1:8" s="1" customFormat="1" ht="70.5" customHeight="1">
      <c r="A44" s="84">
        <f t="shared" si="0"/>
        <v>5</v>
      </c>
      <c r="B44" s="14" t="s">
        <v>33</v>
      </c>
      <c r="C44" s="15" t="s">
        <v>22</v>
      </c>
      <c r="D44" s="11"/>
      <c r="E44" s="12">
        <f>F43+1</f>
        <v>45264</v>
      </c>
      <c r="F44" s="12">
        <f t="shared" si="4"/>
        <v>45270</v>
      </c>
      <c r="G44" s="68">
        <v>7</v>
      </c>
      <c r="H44" s="59" t="s">
        <v>23</v>
      </c>
    </row>
    <row r="45" spans="1:8" s="1" customFormat="1" ht="64.150000000000006" customHeight="1">
      <c r="A45" s="84">
        <f t="shared" si="0"/>
        <v>6</v>
      </c>
      <c r="B45" s="14" t="s">
        <v>32</v>
      </c>
      <c r="C45" s="15" t="s">
        <v>20</v>
      </c>
      <c r="D45" s="11"/>
      <c r="E45" s="12">
        <f>F44+1</f>
        <v>45271</v>
      </c>
      <c r="F45" s="12">
        <f t="shared" si="4"/>
        <v>45277</v>
      </c>
      <c r="G45" s="68">
        <v>7</v>
      </c>
      <c r="H45" s="59" t="s">
        <v>26</v>
      </c>
    </row>
    <row r="46" spans="1:8" s="1" customFormat="1" ht="48.75" customHeight="1">
      <c r="A46" s="84">
        <f t="shared" si="0"/>
        <v>7</v>
      </c>
      <c r="B46" s="14" t="s">
        <v>27</v>
      </c>
      <c r="C46" s="15" t="s">
        <v>20</v>
      </c>
      <c r="D46" s="11"/>
      <c r="E46" s="12">
        <f>F45+1</f>
        <v>45278</v>
      </c>
      <c r="F46" s="12">
        <f t="shared" si="4"/>
        <v>45279</v>
      </c>
      <c r="G46" s="68">
        <v>2</v>
      </c>
      <c r="H46" s="59"/>
    </row>
    <row r="47" spans="1:8" s="60" customFormat="1" ht="45">
      <c r="A47" s="120">
        <f t="shared" si="0"/>
        <v>8</v>
      </c>
      <c r="B47" s="121" t="s">
        <v>36</v>
      </c>
      <c r="C47" s="122" t="s">
        <v>22</v>
      </c>
      <c r="D47" s="123"/>
      <c r="E47" s="124">
        <f>F46+1</f>
        <v>45280</v>
      </c>
      <c r="F47" s="125">
        <f t="shared" si="4"/>
        <v>45286</v>
      </c>
      <c r="G47" s="122">
        <v>7</v>
      </c>
      <c r="H47" s="121" t="s">
        <v>23</v>
      </c>
    </row>
    <row r="48" spans="1:8">
      <c r="B48" s="18"/>
      <c r="C48" s="18"/>
      <c r="D48" s="25"/>
      <c r="E48" s="19"/>
      <c r="F48" s="19"/>
    </row>
    <row r="49" spans="2:6" ht="22.5">
      <c r="B49" s="126" t="s">
        <v>149</v>
      </c>
      <c r="C49" s="18"/>
      <c r="D49" s="25"/>
      <c r="E49" s="19"/>
      <c r="F49" s="19"/>
    </row>
    <row r="50" spans="2:6">
      <c r="B50" s="18"/>
      <c r="C50" s="18"/>
      <c r="D50" s="25"/>
      <c r="E50" s="19"/>
      <c r="F50" s="19"/>
    </row>
    <row r="51" spans="2:6">
      <c r="B51" s="18"/>
      <c r="C51" s="18"/>
      <c r="D51" s="26"/>
      <c r="E51" s="19"/>
      <c r="F51" s="19"/>
    </row>
    <row r="52" spans="2:6">
      <c r="B52" s="18"/>
      <c r="C52" s="18"/>
      <c r="D52" s="26"/>
      <c r="E52" s="19"/>
      <c r="F52" s="19"/>
    </row>
    <row r="53" spans="2:6">
      <c r="B53" s="18"/>
      <c r="C53" s="18"/>
      <c r="D53" s="26"/>
      <c r="E53" s="19"/>
      <c r="F53" s="19"/>
    </row>
    <row r="54" spans="2:6">
      <c r="B54" s="18"/>
      <c r="C54" s="18"/>
      <c r="D54" s="26"/>
      <c r="E54" s="19"/>
      <c r="F54" s="19"/>
    </row>
    <row r="55" spans="2:6">
      <c r="B55" s="18"/>
      <c r="C55" s="18"/>
      <c r="D55" s="26"/>
      <c r="E55" s="19"/>
      <c r="F55" s="19"/>
    </row>
    <row r="56" spans="2:6">
      <c r="B56" s="18"/>
      <c r="C56" s="18"/>
      <c r="D56" s="26"/>
      <c r="E56" s="19"/>
      <c r="F56" s="19"/>
    </row>
    <row r="57" spans="2:6">
      <c r="B57" s="18"/>
      <c r="C57" s="18"/>
      <c r="D57" s="26"/>
      <c r="E57" s="19"/>
      <c r="F57" s="19"/>
    </row>
    <row r="58" spans="2:6">
      <c r="B58" s="18"/>
      <c r="C58" s="18"/>
      <c r="D58" s="26"/>
      <c r="E58" s="19"/>
      <c r="F58" s="19"/>
    </row>
    <row r="59" spans="2:6">
      <c r="B59" s="18"/>
      <c r="C59" s="18"/>
      <c r="D59" s="26"/>
      <c r="E59" s="19"/>
      <c r="F59" s="19"/>
    </row>
    <row r="60" spans="2:6">
      <c r="B60" s="18"/>
      <c r="C60" s="18"/>
      <c r="D60" s="26"/>
      <c r="E60" s="19"/>
      <c r="F60" s="19"/>
    </row>
    <row r="61" spans="2:6">
      <c r="B61" s="18"/>
      <c r="C61" s="18"/>
      <c r="D61" s="26"/>
      <c r="E61" s="19"/>
      <c r="F61" s="19"/>
    </row>
    <row r="62" spans="2:6">
      <c r="B62" s="18"/>
      <c r="C62" s="18"/>
      <c r="D62" s="26"/>
      <c r="E62" s="19"/>
      <c r="F62" s="19"/>
    </row>
    <row r="63" spans="2:6">
      <c r="B63" s="18"/>
      <c r="C63" s="18"/>
      <c r="D63" s="26"/>
      <c r="E63" s="19"/>
      <c r="F63" s="19"/>
    </row>
    <row r="64" spans="2:6">
      <c r="B64" s="18"/>
      <c r="C64" s="18"/>
      <c r="D64" s="26"/>
      <c r="E64" s="19"/>
      <c r="F64" s="19"/>
    </row>
    <row r="65" spans="2:6">
      <c r="B65" s="18"/>
      <c r="C65" s="18"/>
      <c r="D65" s="26"/>
      <c r="E65" s="19"/>
      <c r="F65" s="19"/>
    </row>
    <row r="66" spans="2:6">
      <c r="B66" s="18"/>
      <c r="C66" s="18"/>
      <c r="D66" s="26"/>
      <c r="E66" s="19"/>
      <c r="F66" s="19"/>
    </row>
    <row r="67" spans="2:6">
      <c r="B67" s="18"/>
      <c r="C67" s="18"/>
      <c r="D67" s="26"/>
      <c r="E67" s="19"/>
      <c r="F67" s="19"/>
    </row>
    <row r="68" spans="2:6">
      <c r="B68" s="18"/>
      <c r="C68" s="18"/>
      <c r="D68" s="26"/>
      <c r="E68" s="19"/>
      <c r="F68" s="19"/>
    </row>
    <row r="69" spans="2:6">
      <c r="B69" s="18"/>
      <c r="C69" s="18"/>
      <c r="D69" s="26"/>
      <c r="E69" s="19"/>
      <c r="F69" s="19"/>
    </row>
    <row r="70" spans="2:6">
      <c r="B70" s="18"/>
      <c r="C70" s="18"/>
      <c r="D70" s="26"/>
      <c r="E70" s="19"/>
      <c r="F70" s="19"/>
    </row>
    <row r="71" spans="2:6">
      <c r="B71" s="18"/>
      <c r="C71" s="18"/>
      <c r="D71" s="26"/>
      <c r="E71" s="19"/>
      <c r="F71" s="19"/>
    </row>
    <row r="72" spans="2:6">
      <c r="B72" s="18"/>
      <c r="C72" s="18"/>
      <c r="D72" s="26"/>
      <c r="E72" s="19"/>
      <c r="F72" s="19"/>
    </row>
    <row r="73" spans="2:6">
      <c r="B73" s="18"/>
      <c r="C73" s="18"/>
      <c r="D73" s="26"/>
      <c r="E73" s="19"/>
      <c r="F73" s="19"/>
    </row>
    <row r="74" spans="2:6">
      <c r="B74" s="18"/>
      <c r="C74" s="18"/>
      <c r="D74" s="26"/>
      <c r="E74" s="19"/>
      <c r="F74" s="19"/>
    </row>
    <row r="75" spans="2:6">
      <c r="B75" s="18"/>
      <c r="C75" s="18"/>
      <c r="D75" s="26"/>
      <c r="E75" s="19"/>
      <c r="F75" s="19"/>
    </row>
  </sheetData>
  <mergeCells count="3">
    <mergeCell ref="A1:B4"/>
    <mergeCell ref="C4:H4"/>
    <mergeCell ref="H18:H22"/>
  </mergeCells>
  <printOptions horizontalCentered="1"/>
  <pageMargins left="0.4" right="0.4" top="0.4" bottom="0.4" header="0.2" footer="0.2"/>
  <pageSetup paperSize="9" scale="40" orientation="portrait" r:id="rId1"/>
  <headerFooter>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heetPr>
  <dimension ref="A1:H69"/>
  <sheetViews>
    <sheetView view="pageBreakPreview" zoomScale="90" zoomScaleNormal="100" zoomScaleSheetLayoutView="90" workbookViewId="0">
      <selection activeCell="G15" sqref="G15"/>
    </sheetView>
  </sheetViews>
  <sheetFormatPr defaultColWidth="9.140625" defaultRowHeight="15" outlineLevelRow="1"/>
  <cols>
    <col min="1" max="1" width="6.7109375" style="5" customWidth="1"/>
    <col min="2" max="2" width="80.7109375" style="20" customWidth="1"/>
    <col min="3" max="3" width="20.28515625" style="20" customWidth="1"/>
    <col min="4" max="4" width="12" style="27" bestFit="1" customWidth="1"/>
    <col min="5" max="5" width="15" style="21" bestFit="1" customWidth="1"/>
    <col min="6" max="6" width="13" style="21" bestFit="1" customWidth="1"/>
    <col min="7" max="7" width="16.7109375" style="5" bestFit="1" customWidth="1"/>
    <col min="8" max="8" width="55.7109375" style="5" customWidth="1"/>
    <col min="9" max="16384" width="9.140625" style="5"/>
  </cols>
  <sheetData>
    <row r="1" spans="1:8" ht="25.15" customHeight="1">
      <c r="A1" s="196" t="s">
        <v>17</v>
      </c>
      <c r="B1" s="197"/>
      <c r="C1" s="32" t="s">
        <v>10</v>
      </c>
      <c r="D1" s="29"/>
      <c r="E1" s="28"/>
      <c r="F1" s="28"/>
      <c r="G1" s="33"/>
      <c r="H1" s="34"/>
    </row>
    <row r="2" spans="1:8" ht="25.15" customHeight="1">
      <c r="A2" s="198"/>
      <c r="B2" s="199"/>
      <c r="C2" s="35" t="s">
        <v>40</v>
      </c>
      <c r="D2" s="31"/>
      <c r="E2" s="30"/>
      <c r="F2" s="30"/>
      <c r="G2" s="36"/>
      <c r="H2" s="37"/>
    </row>
    <row r="3" spans="1:8" ht="25.15" customHeight="1">
      <c r="A3" s="198"/>
      <c r="B3" s="199"/>
      <c r="C3" s="79" t="s">
        <v>140</v>
      </c>
      <c r="D3" s="31"/>
      <c r="E3" s="30"/>
      <c r="F3" s="30"/>
      <c r="G3" s="36"/>
      <c r="H3" s="37"/>
    </row>
    <row r="4" spans="1:8" ht="30" customHeight="1">
      <c r="A4" s="200"/>
      <c r="B4" s="201"/>
      <c r="C4" s="202" t="s">
        <v>139</v>
      </c>
      <c r="D4" s="203"/>
      <c r="E4" s="203"/>
      <c r="F4" s="203"/>
      <c r="G4" s="203"/>
      <c r="H4" s="204"/>
    </row>
    <row r="5" spans="1:8" s="6" customFormat="1" ht="60" customHeight="1">
      <c r="A5" s="22" t="s">
        <v>0</v>
      </c>
      <c r="B5" s="22" t="s">
        <v>1</v>
      </c>
      <c r="C5" s="22" t="s">
        <v>16</v>
      </c>
      <c r="D5" s="23" t="s">
        <v>4</v>
      </c>
      <c r="E5" s="22" t="s">
        <v>2</v>
      </c>
      <c r="F5" s="22" t="s">
        <v>3</v>
      </c>
      <c r="G5" s="22" t="s">
        <v>19</v>
      </c>
      <c r="H5" s="22" t="s">
        <v>18</v>
      </c>
    </row>
    <row r="6" spans="1:8" s="1" customFormat="1" ht="60" customHeight="1">
      <c r="A6" s="73" t="s">
        <v>42</v>
      </c>
      <c r="B6" s="74" t="s">
        <v>45</v>
      </c>
      <c r="C6" s="75"/>
      <c r="D6" s="76"/>
      <c r="E6" s="77">
        <f>MIN(E7:E13)</f>
        <v>45216</v>
      </c>
      <c r="F6" s="77">
        <f>MAX(F7:F13)</f>
        <v>45260</v>
      </c>
      <c r="G6" s="78">
        <f>F6-E6</f>
        <v>44</v>
      </c>
      <c r="H6" s="78"/>
    </row>
    <row r="7" spans="1:8" s="1" customFormat="1" ht="37.9" customHeight="1">
      <c r="A7" s="82">
        <v>1</v>
      </c>
      <c r="B7" s="50" t="s">
        <v>44</v>
      </c>
      <c r="C7" s="13" t="s">
        <v>20</v>
      </c>
      <c r="D7" s="61">
        <v>1</v>
      </c>
      <c r="E7" s="62">
        <v>45216</v>
      </c>
      <c r="F7" s="62">
        <f>E7+G7-1</f>
        <v>45232</v>
      </c>
      <c r="G7" s="68">
        <v>17</v>
      </c>
      <c r="H7" s="63"/>
    </row>
    <row r="8" spans="1:8" s="57" customFormat="1" ht="75">
      <c r="A8" s="83">
        <v>2</v>
      </c>
      <c r="B8" s="69" t="s">
        <v>28</v>
      </c>
      <c r="C8" s="70" t="s">
        <v>20</v>
      </c>
      <c r="D8" s="71">
        <v>0.6</v>
      </c>
      <c r="E8" s="53">
        <v>45238</v>
      </c>
      <c r="F8" s="64">
        <f>E8+G8-1</f>
        <v>45246</v>
      </c>
      <c r="G8" s="81">
        <v>9</v>
      </c>
      <c r="H8" s="56" t="s">
        <v>25</v>
      </c>
    </row>
    <row r="9" spans="1:8" s="1" customFormat="1">
      <c r="A9" s="84">
        <f t="shared" ref="A9:A42" si="0">A8+1</f>
        <v>3</v>
      </c>
      <c r="B9" s="14" t="s">
        <v>123</v>
      </c>
      <c r="C9" s="15" t="s">
        <v>20</v>
      </c>
      <c r="D9" s="11">
        <v>1</v>
      </c>
      <c r="E9" s="12">
        <f>F8+1</f>
        <v>45247</v>
      </c>
      <c r="F9" s="12">
        <f t="shared" ref="F9:F13" si="1">E9+G9-1</f>
        <v>45247</v>
      </c>
      <c r="G9" s="68">
        <v>1</v>
      </c>
      <c r="H9" s="15"/>
    </row>
    <row r="10" spans="1:8" s="1" customFormat="1" ht="46.15" customHeight="1">
      <c r="A10" s="84">
        <f t="shared" si="0"/>
        <v>4</v>
      </c>
      <c r="B10" s="14" t="s">
        <v>37</v>
      </c>
      <c r="C10" s="15" t="s">
        <v>21</v>
      </c>
      <c r="D10" s="11">
        <v>1</v>
      </c>
      <c r="E10" s="12">
        <f t="shared" ref="E10:E12" si="2">F9+1</f>
        <v>45248</v>
      </c>
      <c r="F10" s="12">
        <f t="shared" si="1"/>
        <v>45250</v>
      </c>
      <c r="G10" s="68">
        <v>3</v>
      </c>
      <c r="H10" s="47" t="s">
        <v>43</v>
      </c>
    </row>
    <row r="11" spans="1:8" s="1" customFormat="1" ht="57" customHeight="1">
      <c r="A11" s="84">
        <f t="shared" si="0"/>
        <v>5</v>
      </c>
      <c r="B11" s="14" t="s">
        <v>29</v>
      </c>
      <c r="C11" s="15" t="s">
        <v>20</v>
      </c>
      <c r="D11" s="11"/>
      <c r="E11" s="12">
        <f t="shared" si="2"/>
        <v>45251</v>
      </c>
      <c r="F11" s="12">
        <f t="shared" si="1"/>
        <v>45252</v>
      </c>
      <c r="G11" s="68">
        <v>2</v>
      </c>
      <c r="H11" s="47"/>
    </row>
    <row r="12" spans="1:8" s="1" customFormat="1" ht="57" customHeight="1">
      <c r="A12" s="84">
        <f t="shared" si="0"/>
        <v>6</v>
      </c>
      <c r="B12" s="14" t="s">
        <v>35</v>
      </c>
      <c r="C12" s="15" t="s">
        <v>20</v>
      </c>
      <c r="D12" s="11"/>
      <c r="E12" s="12">
        <f t="shared" si="2"/>
        <v>45253</v>
      </c>
      <c r="F12" s="12">
        <f t="shared" si="1"/>
        <v>45254</v>
      </c>
      <c r="G12" s="68">
        <v>2</v>
      </c>
      <c r="H12" s="47"/>
    </row>
    <row r="13" spans="1:8" s="57" customFormat="1" ht="70.5" customHeight="1">
      <c r="A13" s="85">
        <f t="shared" si="0"/>
        <v>7</v>
      </c>
      <c r="B13" s="52" t="s">
        <v>30</v>
      </c>
      <c r="C13" s="54" t="s">
        <v>20</v>
      </c>
      <c r="D13" s="55"/>
      <c r="E13" s="51">
        <f>F12</f>
        <v>45254</v>
      </c>
      <c r="F13" s="80">
        <f t="shared" si="1"/>
        <v>45260</v>
      </c>
      <c r="G13" s="54">
        <v>7</v>
      </c>
      <c r="H13" s="58" t="s">
        <v>23</v>
      </c>
    </row>
    <row r="14" spans="1:8" s="1" customFormat="1" ht="27" customHeight="1">
      <c r="A14" s="82"/>
      <c r="B14" s="50"/>
      <c r="C14" s="13"/>
      <c r="D14" s="61"/>
      <c r="E14" s="62"/>
      <c r="F14" s="86"/>
      <c r="G14" s="13"/>
      <c r="H14" s="63"/>
    </row>
    <row r="15" spans="1:8" s="1" customFormat="1" ht="60" customHeight="1">
      <c r="A15" s="73" t="s">
        <v>5</v>
      </c>
      <c r="B15" s="74" t="s">
        <v>46</v>
      </c>
      <c r="C15" s="75"/>
      <c r="D15" s="76"/>
      <c r="E15" s="77">
        <f>MIN(E16:E42)</f>
        <v>45248</v>
      </c>
      <c r="F15" s="77">
        <f>MAX(F16:F42)</f>
        <v>45291</v>
      </c>
      <c r="G15" s="78">
        <f>F15-E15</f>
        <v>43</v>
      </c>
      <c r="H15" s="78"/>
    </row>
    <row r="16" spans="1:8" s="1" customFormat="1" ht="76.5" customHeight="1">
      <c r="A16" s="84">
        <v>1</v>
      </c>
      <c r="B16" s="65" t="s">
        <v>38</v>
      </c>
      <c r="C16" s="68" t="s">
        <v>20</v>
      </c>
      <c r="D16" s="66"/>
      <c r="E16" s="67">
        <f>F9+1</f>
        <v>45248</v>
      </c>
      <c r="F16" s="67">
        <f t="shared" ref="F16:F17" si="3">E16+G16-1</f>
        <v>45248</v>
      </c>
      <c r="G16" s="68">
        <v>1</v>
      </c>
      <c r="H16" s="47" t="s">
        <v>24</v>
      </c>
    </row>
    <row r="17" spans="1:8" s="1" customFormat="1" ht="30">
      <c r="A17" s="84">
        <v>2</v>
      </c>
      <c r="B17" s="14" t="s">
        <v>31</v>
      </c>
      <c r="C17" s="15" t="s">
        <v>21</v>
      </c>
      <c r="D17" s="11"/>
      <c r="E17" s="12">
        <f>F16+1</f>
        <v>45249</v>
      </c>
      <c r="F17" s="12">
        <f t="shared" si="3"/>
        <v>45255</v>
      </c>
      <c r="G17" s="68">
        <v>7</v>
      </c>
      <c r="H17" s="47"/>
    </row>
    <row r="18" spans="1:8" s="1" customFormat="1" ht="30" customHeight="1" outlineLevel="1">
      <c r="A18" s="87" t="s">
        <v>55</v>
      </c>
      <c r="B18" s="88" t="s">
        <v>52</v>
      </c>
      <c r="C18" s="89" t="s">
        <v>51</v>
      </c>
      <c r="D18" s="90">
        <v>1</v>
      </c>
      <c r="E18" s="91">
        <v>45250</v>
      </c>
      <c r="F18" s="91">
        <v>45250</v>
      </c>
      <c r="G18" s="92" t="s">
        <v>54</v>
      </c>
      <c r="H18" s="205" t="s">
        <v>91</v>
      </c>
    </row>
    <row r="19" spans="1:8" s="1" customFormat="1" ht="30" outlineLevel="1">
      <c r="A19" s="87" t="s">
        <v>56</v>
      </c>
      <c r="B19" s="88" t="s">
        <v>69</v>
      </c>
      <c r="C19" s="95" t="s">
        <v>65</v>
      </c>
      <c r="D19" s="90">
        <v>1</v>
      </c>
      <c r="E19" s="91">
        <v>45250</v>
      </c>
      <c r="F19" s="91">
        <v>45250</v>
      </c>
      <c r="G19" s="92" t="s">
        <v>53</v>
      </c>
      <c r="H19" s="206"/>
    </row>
    <row r="20" spans="1:8" s="1" customFormat="1" ht="30" outlineLevel="1">
      <c r="A20" s="87" t="s">
        <v>57</v>
      </c>
      <c r="B20" s="88" t="s">
        <v>71</v>
      </c>
      <c r="C20" s="95" t="s">
        <v>68</v>
      </c>
      <c r="D20" s="90">
        <v>1</v>
      </c>
      <c r="E20" s="91">
        <v>45250</v>
      </c>
      <c r="F20" s="91">
        <v>45250</v>
      </c>
      <c r="G20" s="92" t="s">
        <v>53</v>
      </c>
      <c r="H20" s="206"/>
    </row>
    <row r="21" spans="1:8" s="1" customFormat="1" outlineLevel="1">
      <c r="A21" s="87" t="s">
        <v>58</v>
      </c>
      <c r="B21" s="88" t="s">
        <v>66</v>
      </c>
      <c r="C21" s="89" t="s">
        <v>67</v>
      </c>
      <c r="D21" s="90">
        <v>1</v>
      </c>
      <c r="E21" s="91">
        <v>45250</v>
      </c>
      <c r="F21" s="91">
        <v>45250</v>
      </c>
      <c r="G21" s="92" t="s">
        <v>53</v>
      </c>
      <c r="H21" s="206"/>
    </row>
    <row r="22" spans="1:8" s="1" customFormat="1" ht="30" outlineLevel="1">
      <c r="A22" s="87" t="s">
        <v>59</v>
      </c>
      <c r="B22" s="88" t="s">
        <v>70</v>
      </c>
      <c r="C22" s="95" t="s">
        <v>65</v>
      </c>
      <c r="D22" s="90">
        <v>1</v>
      </c>
      <c r="E22" s="91">
        <v>45250</v>
      </c>
      <c r="F22" s="91">
        <v>45250</v>
      </c>
      <c r="G22" s="92" t="s">
        <v>53</v>
      </c>
      <c r="H22" s="207"/>
    </row>
    <row r="23" spans="1:8" s="1" customFormat="1" ht="30" outlineLevel="1">
      <c r="A23" s="87" t="s">
        <v>60</v>
      </c>
      <c r="B23" s="88" t="s">
        <v>115</v>
      </c>
      <c r="C23" s="95" t="s">
        <v>65</v>
      </c>
      <c r="D23" s="90">
        <v>1</v>
      </c>
      <c r="E23" s="91">
        <v>45251</v>
      </c>
      <c r="F23" s="91">
        <v>45253</v>
      </c>
      <c r="G23" s="92" t="s">
        <v>90</v>
      </c>
      <c r="H23" s="93"/>
    </row>
    <row r="24" spans="1:8" s="1" customFormat="1" ht="45" outlineLevel="1">
      <c r="A24" s="87" t="s">
        <v>61</v>
      </c>
      <c r="B24" s="88" t="s">
        <v>116</v>
      </c>
      <c r="C24" s="95" t="s">
        <v>72</v>
      </c>
      <c r="D24" s="90">
        <v>1</v>
      </c>
      <c r="E24" s="91">
        <v>45253</v>
      </c>
      <c r="F24" s="91">
        <v>45253</v>
      </c>
      <c r="G24" s="92" t="s">
        <v>89</v>
      </c>
      <c r="H24" s="94" t="s">
        <v>83</v>
      </c>
    </row>
    <row r="25" spans="1:8" s="1" customFormat="1" ht="30" outlineLevel="1">
      <c r="A25" s="87" t="s">
        <v>62</v>
      </c>
      <c r="B25" s="88" t="s">
        <v>131</v>
      </c>
      <c r="C25" s="95" t="s">
        <v>72</v>
      </c>
      <c r="D25" s="90">
        <v>1</v>
      </c>
      <c r="E25" s="91">
        <v>45254</v>
      </c>
      <c r="F25" s="91">
        <v>45254</v>
      </c>
      <c r="G25" s="92" t="s">
        <v>84</v>
      </c>
      <c r="H25" s="94"/>
    </row>
    <row r="26" spans="1:8" s="1" customFormat="1" ht="30" outlineLevel="1">
      <c r="A26" s="87" t="s">
        <v>63</v>
      </c>
      <c r="B26" s="88" t="s">
        <v>117</v>
      </c>
      <c r="C26" s="95" t="s">
        <v>85</v>
      </c>
      <c r="D26" s="90">
        <v>1</v>
      </c>
      <c r="E26" s="91">
        <v>45254</v>
      </c>
      <c r="F26" s="91">
        <v>45254</v>
      </c>
      <c r="G26" s="92" t="s">
        <v>86</v>
      </c>
      <c r="H26" s="94"/>
    </row>
    <row r="27" spans="1:8" s="1" customFormat="1" ht="30" customHeight="1" outlineLevel="1">
      <c r="A27" s="87" t="s">
        <v>64</v>
      </c>
      <c r="B27" s="88" t="s">
        <v>87</v>
      </c>
      <c r="C27" s="95" t="s">
        <v>72</v>
      </c>
      <c r="D27" s="90">
        <v>1</v>
      </c>
      <c r="E27" s="91">
        <v>45254</v>
      </c>
      <c r="F27" s="91">
        <v>45254</v>
      </c>
      <c r="G27" s="92" t="s">
        <v>88</v>
      </c>
      <c r="H27" s="94"/>
    </row>
    <row r="28" spans="1:8" s="1" customFormat="1" outlineLevel="1">
      <c r="A28" s="87" t="s">
        <v>92</v>
      </c>
      <c r="B28" s="88" t="s">
        <v>128</v>
      </c>
      <c r="C28" s="95" t="s">
        <v>72</v>
      </c>
      <c r="D28" s="90">
        <v>1</v>
      </c>
      <c r="E28" s="91">
        <v>45255</v>
      </c>
      <c r="F28" s="91">
        <v>45255</v>
      </c>
      <c r="G28" s="92" t="s">
        <v>84</v>
      </c>
      <c r="H28" s="94"/>
    </row>
    <row r="29" spans="1:8" s="1" customFormat="1" ht="45" outlineLevel="1">
      <c r="A29" s="87" t="s">
        <v>93</v>
      </c>
      <c r="B29" s="88" t="s">
        <v>118</v>
      </c>
      <c r="C29" s="95" t="s">
        <v>65</v>
      </c>
      <c r="D29" s="90">
        <v>1</v>
      </c>
      <c r="E29" s="91">
        <v>45255</v>
      </c>
      <c r="F29" s="91">
        <v>45256</v>
      </c>
      <c r="G29" s="92" t="s">
        <v>104</v>
      </c>
      <c r="H29" s="94" t="s">
        <v>105</v>
      </c>
    </row>
    <row r="30" spans="1:8" s="1" customFormat="1" ht="45" outlineLevel="1">
      <c r="A30" s="87" t="s">
        <v>94</v>
      </c>
      <c r="B30" s="88" t="s">
        <v>134</v>
      </c>
      <c r="C30" s="95" t="s">
        <v>72</v>
      </c>
      <c r="D30" s="90">
        <v>1</v>
      </c>
      <c r="E30" s="91">
        <v>45257</v>
      </c>
      <c r="F30" s="91">
        <v>45257</v>
      </c>
      <c r="G30" s="92" t="s">
        <v>141</v>
      </c>
      <c r="H30" s="115"/>
    </row>
    <row r="31" spans="1:8" s="1" customFormat="1" ht="30" outlineLevel="1">
      <c r="A31" s="87" t="s">
        <v>95</v>
      </c>
      <c r="B31" s="114" t="s">
        <v>142</v>
      </c>
      <c r="C31" s="95" t="s">
        <v>20</v>
      </c>
      <c r="D31" s="90">
        <v>1</v>
      </c>
      <c r="E31" s="91">
        <v>45253</v>
      </c>
      <c r="F31" s="91">
        <v>45253</v>
      </c>
      <c r="G31" s="92" t="s">
        <v>97</v>
      </c>
      <c r="H31" s="94"/>
    </row>
    <row r="32" spans="1:8" s="1" customFormat="1" ht="30" outlineLevel="1">
      <c r="A32" s="87" t="s">
        <v>96</v>
      </c>
      <c r="B32" s="114" t="s">
        <v>132</v>
      </c>
      <c r="C32" s="95" t="s">
        <v>144</v>
      </c>
      <c r="D32" s="90">
        <v>1</v>
      </c>
      <c r="E32" s="91">
        <v>45254</v>
      </c>
      <c r="F32" s="91">
        <v>45254</v>
      </c>
      <c r="G32" s="92" t="s">
        <v>100</v>
      </c>
      <c r="H32" s="94"/>
    </row>
    <row r="33" spans="1:8" s="1" customFormat="1" ht="30" customHeight="1" outlineLevel="1">
      <c r="A33" s="87" t="s">
        <v>109</v>
      </c>
      <c r="B33" s="88" t="s">
        <v>129</v>
      </c>
      <c r="C33" s="95" t="s">
        <v>143</v>
      </c>
      <c r="D33" s="90">
        <v>1</v>
      </c>
      <c r="E33" s="91">
        <v>45255</v>
      </c>
      <c r="F33" s="91">
        <v>45255</v>
      </c>
      <c r="G33" s="92" t="s">
        <v>102</v>
      </c>
      <c r="H33" s="94"/>
    </row>
    <row r="34" spans="1:8" s="1" customFormat="1" ht="30" outlineLevel="1">
      <c r="A34" s="87" t="s">
        <v>110</v>
      </c>
      <c r="B34" s="114" t="s">
        <v>145</v>
      </c>
      <c r="C34" s="95" t="s">
        <v>143</v>
      </c>
      <c r="D34" s="90">
        <v>1</v>
      </c>
      <c r="E34" s="91">
        <v>45257</v>
      </c>
      <c r="F34" s="91">
        <v>45257</v>
      </c>
      <c r="G34" s="92"/>
      <c r="H34" s="114"/>
    </row>
    <row r="35" spans="1:8" s="1" customFormat="1" outlineLevel="1">
      <c r="A35" s="87" t="s">
        <v>111</v>
      </c>
      <c r="B35" s="88" t="s">
        <v>148</v>
      </c>
      <c r="C35" s="95" t="s">
        <v>146</v>
      </c>
      <c r="D35" s="90"/>
      <c r="E35" s="91">
        <v>45257</v>
      </c>
      <c r="F35" s="91">
        <v>45264</v>
      </c>
      <c r="G35" s="92">
        <v>7</v>
      </c>
      <c r="H35" s="94"/>
    </row>
    <row r="36" spans="1:8" s="1" customFormat="1" ht="30" outlineLevel="1">
      <c r="A36" s="87" t="s">
        <v>112</v>
      </c>
      <c r="B36" s="127" t="s">
        <v>147</v>
      </c>
      <c r="C36" s="90" t="s">
        <v>20</v>
      </c>
      <c r="D36" s="90"/>
      <c r="E36" s="91">
        <v>45265</v>
      </c>
      <c r="F36" s="91">
        <v>45265</v>
      </c>
      <c r="G36" s="128">
        <v>1</v>
      </c>
      <c r="H36" s="115"/>
    </row>
    <row r="37" spans="1:8" s="1" customFormat="1" ht="42" customHeight="1">
      <c r="A37" s="84">
        <v>3</v>
      </c>
      <c r="B37" s="14" t="s">
        <v>47</v>
      </c>
      <c r="C37" s="15" t="s">
        <v>20</v>
      </c>
      <c r="D37" s="11"/>
      <c r="E37" s="12">
        <f>E17+1</f>
        <v>45250</v>
      </c>
      <c r="F37" s="12">
        <v>45266</v>
      </c>
      <c r="G37" s="68">
        <v>16</v>
      </c>
      <c r="H37" s="47"/>
    </row>
    <row r="38" spans="1:8" s="1" customFormat="1" ht="45">
      <c r="A38" s="84">
        <f t="shared" si="0"/>
        <v>4</v>
      </c>
      <c r="B38" s="14" t="s">
        <v>48</v>
      </c>
      <c r="C38" s="15" t="s">
        <v>20</v>
      </c>
      <c r="D38" s="11"/>
      <c r="E38" s="12">
        <f>F37+1</f>
        <v>45267</v>
      </c>
      <c r="F38" s="12">
        <f t="shared" ref="F38:F42" si="4">E38+G38-1</f>
        <v>45268</v>
      </c>
      <c r="G38" s="68">
        <v>2</v>
      </c>
      <c r="H38" s="59" t="s">
        <v>24</v>
      </c>
    </row>
    <row r="39" spans="1:8" s="1" customFormat="1" ht="70.5" customHeight="1">
      <c r="A39" s="84">
        <f t="shared" si="0"/>
        <v>5</v>
      </c>
      <c r="B39" s="14" t="s">
        <v>33</v>
      </c>
      <c r="C39" s="15" t="s">
        <v>22</v>
      </c>
      <c r="D39" s="11"/>
      <c r="E39" s="12">
        <f>F38+1</f>
        <v>45269</v>
      </c>
      <c r="F39" s="12">
        <f t="shared" si="4"/>
        <v>45275</v>
      </c>
      <c r="G39" s="68">
        <v>7</v>
      </c>
      <c r="H39" s="59" t="s">
        <v>23</v>
      </c>
    </row>
    <row r="40" spans="1:8" s="1" customFormat="1" ht="64.150000000000006" customHeight="1">
      <c r="A40" s="84">
        <f t="shared" si="0"/>
        <v>6</v>
      </c>
      <c r="B40" s="14" t="s">
        <v>32</v>
      </c>
      <c r="C40" s="15" t="s">
        <v>20</v>
      </c>
      <c r="D40" s="11"/>
      <c r="E40" s="12">
        <f>F39+1</f>
        <v>45276</v>
      </c>
      <c r="F40" s="12">
        <f t="shared" si="4"/>
        <v>45282</v>
      </c>
      <c r="G40" s="68">
        <v>7</v>
      </c>
      <c r="H40" s="59" t="s">
        <v>26</v>
      </c>
    </row>
    <row r="41" spans="1:8" s="1" customFormat="1" ht="48.75" customHeight="1">
      <c r="A41" s="84">
        <f t="shared" si="0"/>
        <v>7</v>
      </c>
      <c r="B41" s="14" t="s">
        <v>27</v>
      </c>
      <c r="C41" s="15" t="s">
        <v>20</v>
      </c>
      <c r="D41" s="11"/>
      <c r="E41" s="12">
        <f>F40+1</f>
        <v>45283</v>
      </c>
      <c r="F41" s="12">
        <f t="shared" si="4"/>
        <v>45284</v>
      </c>
      <c r="G41" s="68">
        <v>2</v>
      </c>
      <c r="H41" s="59"/>
    </row>
    <row r="42" spans="1:8" s="60" customFormat="1" ht="45">
      <c r="A42" s="120">
        <f t="shared" si="0"/>
        <v>8</v>
      </c>
      <c r="B42" s="121" t="s">
        <v>36</v>
      </c>
      <c r="C42" s="122" t="s">
        <v>22</v>
      </c>
      <c r="D42" s="123"/>
      <c r="E42" s="124">
        <f>F41+1</f>
        <v>45285</v>
      </c>
      <c r="F42" s="125">
        <f t="shared" si="4"/>
        <v>45291</v>
      </c>
      <c r="G42" s="122">
        <v>7</v>
      </c>
      <c r="H42" s="121" t="s">
        <v>23</v>
      </c>
    </row>
    <row r="43" spans="1:8">
      <c r="B43" s="18"/>
      <c r="C43" s="18"/>
      <c r="D43" s="25"/>
      <c r="E43" s="19"/>
      <c r="F43" s="19"/>
    </row>
    <row r="44" spans="1:8" ht="22.5">
      <c r="B44" s="126" t="s">
        <v>149</v>
      </c>
      <c r="C44" s="18"/>
      <c r="D44" s="25"/>
      <c r="E44" s="19"/>
      <c r="F44" s="19"/>
    </row>
    <row r="45" spans="1:8">
      <c r="B45" s="18"/>
      <c r="C45" s="18"/>
      <c r="D45" s="25"/>
      <c r="E45" s="19"/>
      <c r="F45" s="19"/>
    </row>
    <row r="46" spans="1:8">
      <c r="B46" s="18"/>
      <c r="C46" s="18"/>
      <c r="D46" s="26"/>
      <c r="E46" s="19"/>
      <c r="F46" s="19"/>
    </row>
    <row r="47" spans="1:8">
      <c r="B47" s="18"/>
      <c r="C47" s="18"/>
      <c r="D47" s="26"/>
      <c r="E47" s="19"/>
      <c r="F47" s="19"/>
    </row>
    <row r="48" spans="1:8">
      <c r="B48" s="18"/>
      <c r="C48" s="18"/>
      <c r="D48" s="26"/>
      <c r="E48" s="19"/>
      <c r="F48" s="19"/>
    </row>
    <row r="49" spans="2:6">
      <c r="B49" s="18"/>
      <c r="C49" s="18"/>
      <c r="D49" s="26"/>
      <c r="E49" s="19"/>
      <c r="F49" s="19"/>
    </row>
    <row r="50" spans="2:6">
      <c r="B50" s="18"/>
      <c r="C50" s="18"/>
      <c r="D50" s="26"/>
      <c r="E50" s="19"/>
      <c r="F50" s="19"/>
    </row>
    <row r="51" spans="2:6">
      <c r="B51" s="18"/>
      <c r="C51" s="18"/>
      <c r="D51" s="26"/>
      <c r="E51" s="19"/>
      <c r="F51" s="19"/>
    </row>
    <row r="52" spans="2:6">
      <c r="B52" s="18"/>
      <c r="C52" s="18"/>
      <c r="D52" s="26"/>
      <c r="E52" s="19"/>
      <c r="F52" s="19"/>
    </row>
    <row r="53" spans="2:6">
      <c r="B53" s="18"/>
      <c r="C53" s="18"/>
      <c r="D53" s="26"/>
      <c r="E53" s="19"/>
      <c r="F53" s="19"/>
    </row>
    <row r="54" spans="2:6">
      <c r="B54" s="18"/>
      <c r="C54" s="18"/>
      <c r="D54" s="26"/>
      <c r="E54" s="19"/>
      <c r="F54" s="19"/>
    </row>
    <row r="55" spans="2:6">
      <c r="B55" s="18"/>
      <c r="C55" s="18"/>
      <c r="D55" s="26"/>
      <c r="E55" s="19"/>
      <c r="F55" s="19"/>
    </row>
    <row r="56" spans="2:6">
      <c r="B56" s="18"/>
      <c r="C56" s="18"/>
      <c r="D56" s="26"/>
      <c r="E56" s="19"/>
      <c r="F56" s="19"/>
    </row>
    <row r="57" spans="2:6">
      <c r="B57" s="18"/>
      <c r="C57" s="18"/>
      <c r="D57" s="26"/>
      <c r="E57" s="19"/>
      <c r="F57" s="19"/>
    </row>
    <row r="58" spans="2:6">
      <c r="B58" s="18"/>
      <c r="C58" s="18"/>
      <c r="D58" s="26"/>
      <c r="E58" s="19"/>
      <c r="F58" s="19"/>
    </row>
    <row r="59" spans="2:6">
      <c r="B59" s="18"/>
      <c r="C59" s="18"/>
      <c r="D59" s="26"/>
      <c r="E59" s="19"/>
      <c r="F59" s="19"/>
    </row>
    <row r="60" spans="2:6">
      <c r="B60" s="18"/>
      <c r="C60" s="18"/>
      <c r="D60" s="26"/>
      <c r="E60" s="19"/>
      <c r="F60" s="19"/>
    </row>
    <row r="61" spans="2:6">
      <c r="B61" s="18"/>
      <c r="C61" s="18"/>
      <c r="D61" s="26"/>
      <c r="E61" s="19"/>
      <c r="F61" s="19"/>
    </row>
    <row r="62" spans="2:6">
      <c r="B62" s="18"/>
      <c r="C62" s="18"/>
      <c r="D62" s="26"/>
      <c r="E62" s="19"/>
      <c r="F62" s="19"/>
    </row>
    <row r="63" spans="2:6">
      <c r="B63" s="18"/>
      <c r="C63" s="18"/>
      <c r="D63" s="26"/>
      <c r="E63" s="19"/>
      <c r="F63" s="19"/>
    </row>
    <row r="64" spans="2:6">
      <c r="B64" s="18"/>
      <c r="C64" s="18"/>
      <c r="D64" s="26"/>
      <c r="E64" s="19"/>
      <c r="F64" s="19"/>
    </row>
    <row r="65" spans="2:6">
      <c r="B65" s="18"/>
      <c r="C65" s="18"/>
      <c r="D65" s="26"/>
      <c r="E65" s="19"/>
      <c r="F65" s="19"/>
    </row>
    <row r="66" spans="2:6">
      <c r="B66" s="18"/>
      <c r="C66" s="18"/>
      <c r="D66" s="26"/>
      <c r="E66" s="19"/>
      <c r="F66" s="19"/>
    </row>
    <row r="67" spans="2:6">
      <c r="B67" s="18"/>
      <c r="C67" s="18"/>
      <c r="D67" s="26"/>
      <c r="E67" s="19"/>
      <c r="F67" s="19"/>
    </row>
    <row r="68" spans="2:6">
      <c r="B68" s="18"/>
      <c r="C68" s="18"/>
      <c r="D68" s="26"/>
      <c r="E68" s="19"/>
      <c r="F68" s="19"/>
    </row>
    <row r="69" spans="2:6">
      <c r="B69" s="18"/>
      <c r="C69" s="18"/>
      <c r="D69" s="26"/>
      <c r="E69" s="19"/>
      <c r="F69" s="19"/>
    </row>
  </sheetData>
  <mergeCells count="3">
    <mergeCell ref="A1:B4"/>
    <mergeCell ref="C4:H4"/>
    <mergeCell ref="H18:H22"/>
  </mergeCells>
  <printOptions horizontalCentered="1"/>
  <pageMargins left="0.4" right="0.4" top="0.4" bottom="0.4" header="0.2" footer="0.2"/>
  <pageSetup paperSize="9" scale="40" orientation="portrait" r:id="rId1"/>
  <headerFooter>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heetPr>
  <dimension ref="A1:H70"/>
  <sheetViews>
    <sheetView view="pageBreakPreview" topLeftCell="A13" zoomScale="90" zoomScaleNormal="100" zoomScaleSheetLayoutView="90" workbookViewId="0">
      <selection activeCell="B17" sqref="B17"/>
    </sheetView>
  </sheetViews>
  <sheetFormatPr defaultColWidth="9.140625" defaultRowHeight="15" outlineLevelRow="1"/>
  <cols>
    <col min="1" max="1" width="6.7109375" style="5" customWidth="1"/>
    <col min="2" max="2" width="80.7109375" style="20" customWidth="1"/>
    <col min="3" max="3" width="20.28515625" style="20" customWidth="1"/>
    <col min="4" max="4" width="12" style="27" bestFit="1" customWidth="1"/>
    <col min="5" max="5" width="15" style="21" bestFit="1" customWidth="1"/>
    <col min="6" max="6" width="13" style="21" bestFit="1" customWidth="1"/>
    <col min="7" max="7" width="16.7109375" style="5" bestFit="1" customWidth="1"/>
    <col min="8" max="8" width="55.7109375" style="5" customWidth="1"/>
    <col min="9" max="16384" width="9.140625" style="5"/>
  </cols>
  <sheetData>
    <row r="1" spans="1:8" ht="25.15" customHeight="1">
      <c r="A1" s="196" t="s">
        <v>17</v>
      </c>
      <c r="B1" s="197"/>
      <c r="C1" s="32" t="s">
        <v>10</v>
      </c>
      <c r="D1" s="29"/>
      <c r="E1" s="28"/>
      <c r="F1" s="28"/>
      <c r="G1" s="33"/>
      <c r="H1" s="34"/>
    </row>
    <row r="2" spans="1:8" ht="25.15" customHeight="1">
      <c r="A2" s="198"/>
      <c r="B2" s="199"/>
      <c r="C2" s="35" t="s">
        <v>40</v>
      </c>
      <c r="D2" s="31"/>
      <c r="E2" s="30"/>
      <c r="F2" s="30"/>
      <c r="G2" s="36"/>
      <c r="H2" s="37"/>
    </row>
    <row r="3" spans="1:8" ht="25.15" customHeight="1">
      <c r="A3" s="198"/>
      <c r="B3" s="199"/>
      <c r="C3" s="79" t="s">
        <v>140</v>
      </c>
      <c r="D3" s="31"/>
      <c r="E3" s="30"/>
      <c r="F3" s="30"/>
      <c r="G3" s="36"/>
      <c r="H3" s="37"/>
    </row>
    <row r="4" spans="1:8" ht="30" customHeight="1">
      <c r="A4" s="200"/>
      <c r="B4" s="201"/>
      <c r="C4" s="202" t="s">
        <v>139</v>
      </c>
      <c r="D4" s="203"/>
      <c r="E4" s="203"/>
      <c r="F4" s="203"/>
      <c r="G4" s="203"/>
      <c r="H4" s="204"/>
    </row>
    <row r="5" spans="1:8" s="6" customFormat="1" ht="60" customHeight="1">
      <c r="A5" s="22" t="s">
        <v>0</v>
      </c>
      <c r="B5" s="22" t="s">
        <v>1</v>
      </c>
      <c r="C5" s="22" t="s">
        <v>16</v>
      </c>
      <c r="D5" s="23" t="s">
        <v>4</v>
      </c>
      <c r="E5" s="22" t="s">
        <v>2</v>
      </c>
      <c r="F5" s="22" t="s">
        <v>3</v>
      </c>
      <c r="G5" s="22" t="s">
        <v>19</v>
      </c>
      <c r="H5" s="22" t="s">
        <v>18</v>
      </c>
    </row>
    <row r="6" spans="1:8" s="1" customFormat="1" ht="60" customHeight="1">
      <c r="A6" s="73" t="s">
        <v>42</v>
      </c>
      <c r="B6" s="74" t="s">
        <v>45</v>
      </c>
      <c r="C6" s="75"/>
      <c r="D6" s="76"/>
      <c r="E6" s="77">
        <f>MIN(E7:E13)</f>
        <v>45216</v>
      </c>
      <c r="F6" s="77">
        <f>MAX(F7:F13)</f>
        <v>45260</v>
      </c>
      <c r="G6" s="78">
        <f>F6-E6</f>
        <v>44</v>
      </c>
      <c r="H6" s="78"/>
    </row>
    <row r="7" spans="1:8" s="1" customFormat="1" ht="37.9" customHeight="1">
      <c r="A7" s="82">
        <v>1</v>
      </c>
      <c r="B7" s="50" t="s">
        <v>44</v>
      </c>
      <c r="C7" s="13" t="s">
        <v>20</v>
      </c>
      <c r="D7" s="61">
        <v>1</v>
      </c>
      <c r="E7" s="62">
        <v>45216</v>
      </c>
      <c r="F7" s="62">
        <f>E7+G7-1</f>
        <v>45232</v>
      </c>
      <c r="G7" s="68">
        <v>17</v>
      </c>
      <c r="H7" s="63"/>
    </row>
    <row r="8" spans="1:8" s="57" customFormat="1" ht="75">
      <c r="A8" s="83">
        <v>2</v>
      </c>
      <c r="B8" s="69" t="s">
        <v>28</v>
      </c>
      <c r="C8" s="70" t="s">
        <v>20</v>
      </c>
      <c r="D8" s="71">
        <v>0.6</v>
      </c>
      <c r="E8" s="53">
        <v>45238</v>
      </c>
      <c r="F8" s="64">
        <f>E8+G8-1</f>
        <v>45246</v>
      </c>
      <c r="G8" s="81">
        <v>9</v>
      </c>
      <c r="H8" s="56" t="s">
        <v>25</v>
      </c>
    </row>
    <row r="9" spans="1:8" s="1" customFormat="1">
      <c r="A9" s="84">
        <f t="shared" ref="A9:A43" si="0">A8+1</f>
        <v>3</v>
      </c>
      <c r="B9" s="14" t="s">
        <v>123</v>
      </c>
      <c r="C9" s="15" t="s">
        <v>20</v>
      </c>
      <c r="D9" s="11">
        <v>1</v>
      </c>
      <c r="E9" s="12">
        <f>F8+1</f>
        <v>45247</v>
      </c>
      <c r="F9" s="12">
        <f t="shared" ref="F9:F13" si="1">E9+G9-1</f>
        <v>45247</v>
      </c>
      <c r="G9" s="68">
        <v>1</v>
      </c>
      <c r="H9" s="15"/>
    </row>
    <row r="10" spans="1:8" s="1" customFormat="1" ht="46.15" customHeight="1">
      <c r="A10" s="84">
        <f t="shared" si="0"/>
        <v>4</v>
      </c>
      <c r="B10" s="14" t="s">
        <v>37</v>
      </c>
      <c r="C10" s="15" t="s">
        <v>21</v>
      </c>
      <c r="D10" s="11">
        <v>1</v>
      </c>
      <c r="E10" s="12">
        <f t="shared" ref="E10:E12" si="2">F9+1</f>
        <v>45248</v>
      </c>
      <c r="F10" s="12">
        <f t="shared" si="1"/>
        <v>45250</v>
      </c>
      <c r="G10" s="68">
        <v>3</v>
      </c>
      <c r="H10" s="47" t="s">
        <v>43</v>
      </c>
    </row>
    <row r="11" spans="1:8" s="1" customFormat="1" ht="57" customHeight="1">
      <c r="A11" s="84">
        <f t="shared" si="0"/>
        <v>5</v>
      </c>
      <c r="B11" s="14" t="s">
        <v>29</v>
      </c>
      <c r="C11" s="15" t="s">
        <v>20</v>
      </c>
      <c r="D11" s="11"/>
      <c r="E11" s="12">
        <f t="shared" si="2"/>
        <v>45251</v>
      </c>
      <c r="F11" s="12">
        <f t="shared" si="1"/>
        <v>45252</v>
      </c>
      <c r="G11" s="68">
        <v>2</v>
      </c>
      <c r="H11" s="47"/>
    </row>
    <row r="12" spans="1:8" s="1" customFormat="1" ht="57" customHeight="1">
      <c r="A12" s="84">
        <f t="shared" si="0"/>
        <v>6</v>
      </c>
      <c r="B12" s="14" t="s">
        <v>35</v>
      </c>
      <c r="C12" s="15" t="s">
        <v>20</v>
      </c>
      <c r="D12" s="11"/>
      <c r="E12" s="12">
        <f t="shared" si="2"/>
        <v>45253</v>
      </c>
      <c r="F12" s="12">
        <f t="shared" si="1"/>
        <v>45254</v>
      </c>
      <c r="G12" s="68">
        <v>2</v>
      </c>
      <c r="H12" s="47"/>
    </row>
    <row r="13" spans="1:8" s="57" customFormat="1" ht="70.5" customHeight="1">
      <c r="A13" s="85">
        <f t="shared" si="0"/>
        <v>7</v>
      </c>
      <c r="B13" s="52" t="s">
        <v>30</v>
      </c>
      <c r="C13" s="54" t="s">
        <v>20</v>
      </c>
      <c r="D13" s="55"/>
      <c r="E13" s="51">
        <f>F12</f>
        <v>45254</v>
      </c>
      <c r="F13" s="80">
        <f t="shared" si="1"/>
        <v>45260</v>
      </c>
      <c r="G13" s="54">
        <v>7</v>
      </c>
      <c r="H13" s="58" t="s">
        <v>23</v>
      </c>
    </row>
    <row r="14" spans="1:8" s="1" customFormat="1" ht="27" customHeight="1">
      <c r="A14" s="82"/>
      <c r="B14" s="50"/>
      <c r="C14" s="13"/>
      <c r="D14" s="61"/>
      <c r="E14" s="62"/>
      <c r="F14" s="86"/>
      <c r="G14" s="13"/>
      <c r="H14" s="63"/>
    </row>
    <row r="15" spans="1:8" s="1" customFormat="1" ht="60" customHeight="1">
      <c r="A15" s="73" t="s">
        <v>5</v>
      </c>
      <c r="B15" s="74" t="s">
        <v>46</v>
      </c>
      <c r="C15" s="75"/>
      <c r="D15" s="76"/>
      <c r="E15" s="77">
        <f>MIN(E16:E43)</f>
        <v>45248</v>
      </c>
      <c r="F15" s="77">
        <f>MAX(F16:F43)</f>
        <v>45295</v>
      </c>
      <c r="G15" s="78">
        <f>F15-E15</f>
        <v>47</v>
      </c>
      <c r="H15" s="78"/>
    </row>
    <row r="16" spans="1:8" s="1" customFormat="1" ht="76.5" customHeight="1">
      <c r="A16" s="84">
        <v>1</v>
      </c>
      <c r="B16" s="65" t="s">
        <v>38</v>
      </c>
      <c r="C16" s="68" t="s">
        <v>20</v>
      </c>
      <c r="D16" s="66"/>
      <c r="E16" s="67">
        <f>F9+1</f>
        <v>45248</v>
      </c>
      <c r="F16" s="67">
        <f t="shared" ref="F16:F17" si="3">E16+G16-1</f>
        <v>45248</v>
      </c>
      <c r="G16" s="68">
        <v>1</v>
      </c>
      <c r="H16" s="47" t="s">
        <v>24</v>
      </c>
    </row>
    <row r="17" spans="1:8" s="1" customFormat="1" ht="30" collapsed="1">
      <c r="A17" s="84">
        <v>2</v>
      </c>
      <c r="B17" s="14" t="s">
        <v>31</v>
      </c>
      <c r="C17" s="15" t="s">
        <v>21</v>
      </c>
      <c r="D17" s="11"/>
      <c r="E17" s="12">
        <f>F16+1</f>
        <v>45249</v>
      </c>
      <c r="F17" s="12">
        <f t="shared" si="3"/>
        <v>45255</v>
      </c>
      <c r="G17" s="68">
        <v>7</v>
      </c>
      <c r="H17" s="47"/>
    </row>
    <row r="18" spans="1:8" s="1" customFormat="1" ht="30" hidden="1" customHeight="1" outlineLevel="1">
      <c r="A18" s="87" t="s">
        <v>55</v>
      </c>
      <c r="B18" s="88" t="s">
        <v>52</v>
      </c>
      <c r="C18" s="89" t="s">
        <v>51</v>
      </c>
      <c r="D18" s="90">
        <v>1</v>
      </c>
      <c r="E18" s="91">
        <v>45250</v>
      </c>
      <c r="F18" s="91">
        <v>45250</v>
      </c>
      <c r="G18" s="92" t="s">
        <v>54</v>
      </c>
      <c r="H18" s="205" t="s">
        <v>91</v>
      </c>
    </row>
    <row r="19" spans="1:8" s="1" customFormat="1" ht="30" hidden="1" outlineLevel="1">
      <c r="A19" s="87" t="s">
        <v>56</v>
      </c>
      <c r="B19" s="88" t="s">
        <v>69</v>
      </c>
      <c r="C19" s="95" t="s">
        <v>65</v>
      </c>
      <c r="D19" s="90">
        <v>1</v>
      </c>
      <c r="E19" s="91">
        <v>45250</v>
      </c>
      <c r="F19" s="91">
        <v>45250</v>
      </c>
      <c r="G19" s="92" t="s">
        <v>53</v>
      </c>
      <c r="H19" s="206"/>
    </row>
    <row r="20" spans="1:8" s="1" customFormat="1" ht="30" hidden="1" outlineLevel="1">
      <c r="A20" s="87" t="s">
        <v>57</v>
      </c>
      <c r="B20" s="88" t="s">
        <v>71</v>
      </c>
      <c r="C20" s="95" t="s">
        <v>68</v>
      </c>
      <c r="D20" s="90">
        <v>1</v>
      </c>
      <c r="E20" s="91">
        <v>45250</v>
      </c>
      <c r="F20" s="91">
        <v>45250</v>
      </c>
      <c r="G20" s="92" t="s">
        <v>53</v>
      </c>
      <c r="H20" s="206"/>
    </row>
    <row r="21" spans="1:8" s="1" customFormat="1" hidden="1" outlineLevel="1">
      <c r="A21" s="87" t="s">
        <v>58</v>
      </c>
      <c r="B21" s="88" t="s">
        <v>66</v>
      </c>
      <c r="C21" s="89" t="s">
        <v>67</v>
      </c>
      <c r="D21" s="90">
        <v>1</v>
      </c>
      <c r="E21" s="91">
        <v>45250</v>
      </c>
      <c r="F21" s="91">
        <v>45250</v>
      </c>
      <c r="G21" s="92" t="s">
        <v>53</v>
      </c>
      <c r="H21" s="206"/>
    </row>
    <row r="22" spans="1:8" s="1" customFormat="1" ht="30" hidden="1" outlineLevel="1">
      <c r="A22" s="87" t="s">
        <v>59</v>
      </c>
      <c r="B22" s="88" t="s">
        <v>70</v>
      </c>
      <c r="C22" s="95" t="s">
        <v>65</v>
      </c>
      <c r="D22" s="90">
        <v>1</v>
      </c>
      <c r="E22" s="91">
        <v>45250</v>
      </c>
      <c r="F22" s="91">
        <v>45250</v>
      </c>
      <c r="G22" s="92" t="s">
        <v>53</v>
      </c>
      <c r="H22" s="207"/>
    </row>
    <row r="23" spans="1:8" s="1" customFormat="1" ht="30" hidden="1" outlineLevel="1">
      <c r="A23" s="87" t="s">
        <v>60</v>
      </c>
      <c r="B23" s="88" t="s">
        <v>115</v>
      </c>
      <c r="C23" s="95" t="s">
        <v>65</v>
      </c>
      <c r="D23" s="90">
        <v>1</v>
      </c>
      <c r="E23" s="91">
        <v>45251</v>
      </c>
      <c r="F23" s="91">
        <v>45253</v>
      </c>
      <c r="G23" s="92" t="s">
        <v>90</v>
      </c>
      <c r="H23" s="93"/>
    </row>
    <row r="24" spans="1:8" s="1" customFormat="1" ht="45" hidden="1" outlineLevel="1">
      <c r="A24" s="87" t="s">
        <v>61</v>
      </c>
      <c r="B24" s="88" t="s">
        <v>116</v>
      </c>
      <c r="C24" s="95" t="s">
        <v>72</v>
      </c>
      <c r="D24" s="90">
        <v>1</v>
      </c>
      <c r="E24" s="91">
        <v>45253</v>
      </c>
      <c r="F24" s="91">
        <v>45253</v>
      </c>
      <c r="G24" s="92" t="s">
        <v>89</v>
      </c>
      <c r="H24" s="94" t="s">
        <v>83</v>
      </c>
    </row>
    <row r="25" spans="1:8" s="1" customFormat="1" ht="30" hidden="1" outlineLevel="1">
      <c r="A25" s="87" t="s">
        <v>62</v>
      </c>
      <c r="B25" s="88" t="s">
        <v>131</v>
      </c>
      <c r="C25" s="95" t="s">
        <v>72</v>
      </c>
      <c r="D25" s="90">
        <v>1</v>
      </c>
      <c r="E25" s="91">
        <v>45254</v>
      </c>
      <c r="F25" s="91">
        <v>45254</v>
      </c>
      <c r="G25" s="92" t="s">
        <v>84</v>
      </c>
      <c r="H25" s="94"/>
    </row>
    <row r="26" spans="1:8" s="1" customFormat="1" ht="30" hidden="1" outlineLevel="1">
      <c r="A26" s="87" t="s">
        <v>63</v>
      </c>
      <c r="B26" s="88" t="s">
        <v>117</v>
      </c>
      <c r="C26" s="95" t="s">
        <v>85</v>
      </c>
      <c r="D26" s="90">
        <v>1</v>
      </c>
      <c r="E26" s="91">
        <v>45254</v>
      </c>
      <c r="F26" s="91">
        <v>45254</v>
      </c>
      <c r="G26" s="92" t="s">
        <v>86</v>
      </c>
      <c r="H26" s="94"/>
    </row>
    <row r="27" spans="1:8" s="1" customFormat="1" ht="30" hidden="1" customHeight="1" outlineLevel="1">
      <c r="A27" s="87" t="s">
        <v>64</v>
      </c>
      <c r="B27" s="88" t="s">
        <v>87</v>
      </c>
      <c r="C27" s="95" t="s">
        <v>72</v>
      </c>
      <c r="D27" s="90">
        <v>1</v>
      </c>
      <c r="E27" s="91">
        <v>45254</v>
      </c>
      <c r="F27" s="91">
        <v>45254</v>
      </c>
      <c r="G27" s="92" t="s">
        <v>88</v>
      </c>
      <c r="H27" s="94"/>
    </row>
    <row r="28" spans="1:8" s="1" customFormat="1" hidden="1" outlineLevel="1">
      <c r="A28" s="87" t="s">
        <v>92</v>
      </c>
      <c r="B28" s="88" t="s">
        <v>128</v>
      </c>
      <c r="C28" s="95" t="s">
        <v>72</v>
      </c>
      <c r="D28" s="90">
        <v>1</v>
      </c>
      <c r="E28" s="91">
        <v>45255</v>
      </c>
      <c r="F28" s="91">
        <v>45255</v>
      </c>
      <c r="G28" s="92" t="s">
        <v>84</v>
      </c>
      <c r="H28" s="94"/>
    </row>
    <row r="29" spans="1:8" s="1" customFormat="1" ht="45" hidden="1" outlineLevel="1">
      <c r="A29" s="87" t="s">
        <v>93</v>
      </c>
      <c r="B29" s="88" t="s">
        <v>118</v>
      </c>
      <c r="C29" s="95" t="s">
        <v>65</v>
      </c>
      <c r="D29" s="90">
        <v>1</v>
      </c>
      <c r="E29" s="91">
        <v>45255</v>
      </c>
      <c r="F29" s="91">
        <v>45256</v>
      </c>
      <c r="G29" s="92" t="s">
        <v>104</v>
      </c>
      <c r="H29" s="94" t="s">
        <v>105</v>
      </c>
    </row>
    <row r="30" spans="1:8" s="1" customFormat="1" ht="45" hidden="1" outlineLevel="1">
      <c r="A30" s="87" t="s">
        <v>94</v>
      </c>
      <c r="B30" s="88" t="s">
        <v>134</v>
      </c>
      <c r="C30" s="95" t="s">
        <v>72</v>
      </c>
      <c r="D30" s="90">
        <v>1</v>
      </c>
      <c r="E30" s="91">
        <v>45257</v>
      </c>
      <c r="F30" s="91">
        <v>45257</v>
      </c>
      <c r="G30" s="92" t="s">
        <v>141</v>
      </c>
      <c r="H30" s="115"/>
    </row>
    <row r="31" spans="1:8" s="1" customFormat="1" ht="30" hidden="1" outlineLevel="1">
      <c r="A31" s="87" t="s">
        <v>95</v>
      </c>
      <c r="B31" s="114" t="s">
        <v>142</v>
      </c>
      <c r="C31" s="95" t="s">
        <v>20</v>
      </c>
      <c r="D31" s="90">
        <v>1</v>
      </c>
      <c r="E31" s="91">
        <v>45253</v>
      </c>
      <c r="F31" s="91">
        <v>45253</v>
      </c>
      <c r="G31" s="92" t="s">
        <v>97</v>
      </c>
      <c r="H31" s="94"/>
    </row>
    <row r="32" spans="1:8" s="1" customFormat="1" ht="30" hidden="1" outlineLevel="1">
      <c r="A32" s="87" t="s">
        <v>96</v>
      </c>
      <c r="B32" s="114" t="s">
        <v>132</v>
      </c>
      <c r="C32" s="95" t="s">
        <v>144</v>
      </c>
      <c r="D32" s="90">
        <v>1</v>
      </c>
      <c r="E32" s="91">
        <v>45254</v>
      </c>
      <c r="F32" s="91">
        <v>45254</v>
      </c>
      <c r="G32" s="92" t="s">
        <v>100</v>
      </c>
      <c r="H32" s="94"/>
    </row>
    <row r="33" spans="1:8" s="1" customFormat="1" ht="30" hidden="1" customHeight="1" outlineLevel="1">
      <c r="A33" s="87" t="s">
        <v>109</v>
      </c>
      <c r="B33" s="88" t="s">
        <v>129</v>
      </c>
      <c r="C33" s="95" t="s">
        <v>143</v>
      </c>
      <c r="D33" s="90">
        <v>1</v>
      </c>
      <c r="E33" s="91">
        <v>45255</v>
      </c>
      <c r="F33" s="91">
        <v>45255</v>
      </c>
      <c r="G33" s="92" t="s">
        <v>102</v>
      </c>
      <c r="H33" s="94"/>
    </row>
    <row r="34" spans="1:8" s="1" customFormat="1" ht="30" hidden="1" outlineLevel="1">
      <c r="A34" s="87" t="s">
        <v>110</v>
      </c>
      <c r="B34" s="114" t="s">
        <v>145</v>
      </c>
      <c r="C34" s="95" t="s">
        <v>143</v>
      </c>
      <c r="D34" s="90">
        <v>1</v>
      </c>
      <c r="E34" s="91">
        <v>45257</v>
      </c>
      <c r="F34" s="91">
        <v>45257</v>
      </c>
      <c r="G34" s="92"/>
      <c r="H34" s="114"/>
    </row>
    <row r="35" spans="1:8" s="1" customFormat="1" hidden="1" outlineLevel="1">
      <c r="A35" s="87" t="s">
        <v>111</v>
      </c>
      <c r="B35" s="88" t="s">
        <v>148</v>
      </c>
      <c r="C35" s="95" t="s">
        <v>146</v>
      </c>
      <c r="D35" s="90"/>
      <c r="E35" s="91">
        <v>45257</v>
      </c>
      <c r="F35" s="91">
        <v>45264</v>
      </c>
      <c r="G35" s="92">
        <v>7</v>
      </c>
      <c r="H35" s="94"/>
    </row>
    <row r="36" spans="1:8" s="1" customFormat="1" ht="45" hidden="1" outlineLevel="1">
      <c r="A36" s="87" t="s">
        <v>112</v>
      </c>
      <c r="B36" s="127" t="s">
        <v>151</v>
      </c>
      <c r="C36" s="95" t="s">
        <v>150</v>
      </c>
      <c r="D36" s="90"/>
      <c r="E36" s="91">
        <v>45265</v>
      </c>
      <c r="F36" s="91">
        <v>45268</v>
      </c>
      <c r="G36" s="128">
        <v>4</v>
      </c>
      <c r="H36" s="115"/>
    </row>
    <row r="37" spans="1:8" s="1" customFormat="1" ht="30" hidden="1" outlineLevel="1">
      <c r="A37" s="87" t="s">
        <v>112</v>
      </c>
      <c r="B37" s="88" t="s">
        <v>135</v>
      </c>
      <c r="C37" s="95" t="s">
        <v>72</v>
      </c>
      <c r="D37" s="90"/>
      <c r="E37" s="91">
        <v>45269</v>
      </c>
      <c r="F37" s="91">
        <v>45269</v>
      </c>
      <c r="G37" s="92">
        <v>1</v>
      </c>
      <c r="H37" s="115"/>
    </row>
    <row r="38" spans="1:8" s="1" customFormat="1" ht="42" customHeight="1">
      <c r="A38" s="84">
        <v>3</v>
      </c>
      <c r="B38" s="14" t="s">
        <v>47</v>
      </c>
      <c r="C38" s="15" t="s">
        <v>20</v>
      </c>
      <c r="D38" s="11"/>
      <c r="E38" s="12">
        <f>E17+1</f>
        <v>45250</v>
      </c>
      <c r="F38" s="12">
        <v>45270</v>
      </c>
      <c r="G38" s="68">
        <v>20</v>
      </c>
      <c r="H38" s="47"/>
    </row>
    <row r="39" spans="1:8" s="1" customFormat="1" ht="45">
      <c r="A39" s="84">
        <f t="shared" si="0"/>
        <v>4</v>
      </c>
      <c r="B39" s="14" t="s">
        <v>48</v>
      </c>
      <c r="C39" s="15" t="s">
        <v>20</v>
      </c>
      <c r="D39" s="11"/>
      <c r="E39" s="12">
        <f>F38+1</f>
        <v>45271</v>
      </c>
      <c r="F39" s="12">
        <f t="shared" ref="F39:F43" si="4">E39+G39-1</f>
        <v>45272</v>
      </c>
      <c r="G39" s="68">
        <v>2</v>
      </c>
      <c r="H39" s="59" t="s">
        <v>24</v>
      </c>
    </row>
    <row r="40" spans="1:8" s="1" customFormat="1" ht="70.5" customHeight="1">
      <c r="A40" s="84">
        <f t="shared" si="0"/>
        <v>5</v>
      </c>
      <c r="B40" s="14" t="s">
        <v>33</v>
      </c>
      <c r="C40" s="15" t="s">
        <v>22</v>
      </c>
      <c r="D40" s="11"/>
      <c r="E40" s="12">
        <f>F39+1</f>
        <v>45273</v>
      </c>
      <c r="F40" s="12">
        <f t="shared" si="4"/>
        <v>45279</v>
      </c>
      <c r="G40" s="68">
        <v>7</v>
      </c>
      <c r="H40" s="59" t="s">
        <v>23</v>
      </c>
    </row>
    <row r="41" spans="1:8" s="1" customFormat="1" ht="64.150000000000006" customHeight="1">
      <c r="A41" s="84">
        <f t="shared" si="0"/>
        <v>6</v>
      </c>
      <c r="B41" s="14" t="s">
        <v>32</v>
      </c>
      <c r="C41" s="15" t="s">
        <v>20</v>
      </c>
      <c r="D41" s="11"/>
      <c r="E41" s="12">
        <f>F40+1</f>
        <v>45280</v>
      </c>
      <c r="F41" s="12">
        <f t="shared" si="4"/>
        <v>45286</v>
      </c>
      <c r="G41" s="68">
        <v>7</v>
      </c>
      <c r="H41" s="59" t="s">
        <v>26</v>
      </c>
    </row>
    <row r="42" spans="1:8" s="1" customFormat="1" ht="48.75" customHeight="1">
      <c r="A42" s="84">
        <f t="shared" si="0"/>
        <v>7</v>
      </c>
      <c r="B42" s="14" t="s">
        <v>27</v>
      </c>
      <c r="C42" s="15" t="s">
        <v>20</v>
      </c>
      <c r="D42" s="11"/>
      <c r="E42" s="12">
        <f>F41+1</f>
        <v>45287</v>
      </c>
      <c r="F42" s="12">
        <f t="shared" si="4"/>
        <v>45288</v>
      </c>
      <c r="G42" s="68">
        <v>2</v>
      </c>
      <c r="H42" s="59"/>
    </row>
    <row r="43" spans="1:8" s="60" customFormat="1" ht="45">
      <c r="A43" s="120">
        <f t="shared" si="0"/>
        <v>8</v>
      </c>
      <c r="B43" s="121" t="s">
        <v>36</v>
      </c>
      <c r="C43" s="122" t="s">
        <v>22</v>
      </c>
      <c r="D43" s="123"/>
      <c r="E43" s="124">
        <f>F42+1</f>
        <v>45289</v>
      </c>
      <c r="F43" s="125">
        <f t="shared" si="4"/>
        <v>45295</v>
      </c>
      <c r="G43" s="122">
        <v>7</v>
      </c>
      <c r="H43" s="121" t="s">
        <v>23</v>
      </c>
    </row>
    <row r="44" spans="1:8">
      <c r="B44" s="18"/>
      <c r="C44" s="18"/>
      <c r="D44" s="25"/>
      <c r="E44" s="19"/>
      <c r="F44" s="19"/>
    </row>
    <row r="45" spans="1:8" ht="22.5">
      <c r="B45" s="126" t="s">
        <v>152</v>
      </c>
      <c r="C45" s="18"/>
      <c r="D45" s="25"/>
      <c r="E45" s="19"/>
      <c r="F45" s="19"/>
    </row>
    <row r="46" spans="1:8">
      <c r="B46" s="18"/>
      <c r="C46" s="18"/>
      <c r="D46" s="26"/>
      <c r="E46" s="19"/>
      <c r="F46" s="19"/>
    </row>
    <row r="47" spans="1:8">
      <c r="B47" s="18"/>
      <c r="C47" s="18"/>
      <c r="D47" s="26"/>
      <c r="E47" s="19"/>
      <c r="F47" s="19"/>
    </row>
    <row r="48" spans="1:8">
      <c r="B48" s="18"/>
      <c r="C48" s="18"/>
      <c r="D48" s="26"/>
      <c r="E48" s="19"/>
      <c r="F48" s="19"/>
    </row>
    <row r="49" spans="2:6">
      <c r="B49" s="18"/>
      <c r="C49" s="18"/>
      <c r="D49" s="26"/>
      <c r="E49" s="19"/>
      <c r="F49" s="19"/>
    </row>
    <row r="50" spans="2:6">
      <c r="B50" s="18"/>
      <c r="C50" s="18"/>
      <c r="D50" s="26"/>
      <c r="E50" s="19"/>
      <c r="F50" s="19"/>
    </row>
    <row r="51" spans="2:6">
      <c r="B51" s="18"/>
      <c r="C51" s="18"/>
      <c r="D51" s="26"/>
      <c r="E51" s="19"/>
      <c r="F51" s="19"/>
    </row>
    <row r="52" spans="2:6">
      <c r="B52" s="18"/>
      <c r="C52" s="18"/>
      <c r="D52" s="26"/>
      <c r="E52" s="19"/>
      <c r="F52" s="19"/>
    </row>
    <row r="53" spans="2:6">
      <c r="B53" s="18"/>
      <c r="C53" s="18"/>
      <c r="D53" s="26"/>
      <c r="E53" s="19"/>
      <c r="F53" s="19"/>
    </row>
    <row r="54" spans="2:6">
      <c r="B54" s="18"/>
      <c r="C54" s="18"/>
      <c r="D54" s="26"/>
      <c r="E54" s="19"/>
      <c r="F54" s="19"/>
    </row>
    <row r="55" spans="2:6">
      <c r="B55" s="18"/>
      <c r="C55" s="18"/>
      <c r="D55" s="26"/>
      <c r="E55" s="19"/>
      <c r="F55" s="19"/>
    </row>
    <row r="56" spans="2:6">
      <c r="B56" s="18"/>
      <c r="C56" s="18"/>
      <c r="D56" s="26"/>
      <c r="E56" s="19"/>
      <c r="F56" s="19"/>
    </row>
    <row r="57" spans="2:6">
      <c r="B57" s="18"/>
      <c r="C57" s="18"/>
      <c r="D57" s="26"/>
      <c r="E57" s="19"/>
      <c r="F57" s="19"/>
    </row>
    <row r="58" spans="2:6">
      <c r="B58" s="18"/>
      <c r="C58" s="18"/>
      <c r="D58" s="26"/>
      <c r="E58" s="19"/>
      <c r="F58" s="19"/>
    </row>
    <row r="59" spans="2:6">
      <c r="B59" s="18"/>
      <c r="C59" s="18"/>
      <c r="D59" s="26"/>
      <c r="E59" s="19"/>
      <c r="F59" s="19"/>
    </row>
    <row r="60" spans="2:6">
      <c r="B60" s="18"/>
      <c r="C60" s="18"/>
      <c r="D60" s="26"/>
      <c r="E60" s="19"/>
      <c r="F60" s="19"/>
    </row>
    <row r="61" spans="2:6">
      <c r="B61" s="18"/>
      <c r="C61" s="18"/>
      <c r="D61" s="26"/>
      <c r="E61" s="19"/>
      <c r="F61" s="19"/>
    </row>
    <row r="62" spans="2:6">
      <c r="B62" s="18"/>
      <c r="C62" s="18"/>
      <c r="D62" s="26"/>
      <c r="E62" s="19"/>
      <c r="F62" s="19"/>
    </row>
    <row r="63" spans="2:6">
      <c r="B63" s="18"/>
      <c r="C63" s="18"/>
      <c r="D63" s="26"/>
      <c r="E63" s="19"/>
      <c r="F63" s="19"/>
    </row>
    <row r="64" spans="2:6">
      <c r="B64" s="18"/>
      <c r="C64" s="18"/>
      <c r="D64" s="26"/>
      <c r="E64" s="19"/>
      <c r="F64" s="19"/>
    </row>
    <row r="65" spans="2:6">
      <c r="B65" s="18"/>
      <c r="C65" s="18"/>
      <c r="D65" s="26"/>
      <c r="E65" s="19"/>
      <c r="F65" s="19"/>
    </row>
    <row r="66" spans="2:6">
      <c r="B66" s="18"/>
      <c r="C66" s="18"/>
      <c r="D66" s="26"/>
      <c r="E66" s="19"/>
      <c r="F66" s="19"/>
    </row>
    <row r="67" spans="2:6">
      <c r="B67" s="18"/>
      <c r="C67" s="18"/>
      <c r="D67" s="26"/>
      <c r="E67" s="19"/>
      <c r="F67" s="19"/>
    </row>
    <row r="68" spans="2:6">
      <c r="B68" s="18"/>
      <c r="C68" s="18"/>
      <c r="D68" s="26"/>
      <c r="E68" s="19"/>
      <c r="F68" s="19"/>
    </row>
    <row r="69" spans="2:6">
      <c r="B69" s="18"/>
      <c r="C69" s="18"/>
      <c r="D69" s="26"/>
      <c r="E69" s="19"/>
      <c r="F69" s="19"/>
    </row>
    <row r="70" spans="2:6">
      <c r="B70" s="18"/>
      <c r="C70" s="18"/>
      <c r="D70" s="26"/>
      <c r="E70" s="19"/>
      <c r="F70" s="19"/>
    </row>
  </sheetData>
  <mergeCells count="3">
    <mergeCell ref="A1:B4"/>
    <mergeCell ref="C4:H4"/>
    <mergeCell ref="H18:H22"/>
  </mergeCells>
  <printOptions horizontalCentered="1"/>
  <pageMargins left="0.4" right="0.4" top="0.4" bottom="0.4" header="0.2" footer="0.2"/>
  <pageSetup paperSize="9" scale="40" orientation="portrait" r:id="rId1"/>
  <headerFooter>
    <oddFooter>Page &amp;P of &amp;N</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M62"/>
  <sheetViews>
    <sheetView view="pageBreakPreview" zoomScale="70" zoomScaleNormal="85" zoomScaleSheetLayoutView="70" workbookViewId="0">
      <selection activeCell="B69" sqref="A1:XFD1048576"/>
    </sheetView>
  </sheetViews>
  <sheetFormatPr defaultColWidth="9.140625" defaultRowHeight="15" outlineLevelRow="1"/>
  <cols>
    <col min="1" max="1" width="6.7109375" customWidth="1"/>
    <col min="2" max="2" width="71.28515625" customWidth="1"/>
    <col min="3" max="3" width="20.28515625" customWidth="1"/>
    <col min="4" max="4" width="12" bestFit="1" customWidth="1"/>
    <col min="5" max="5" width="15" bestFit="1" customWidth="1"/>
    <col min="6" max="6" width="13" bestFit="1" customWidth="1"/>
    <col min="7" max="7" width="38.85546875" style="147" customWidth="1"/>
    <col min="8" max="8" width="16.7109375" bestFit="1" customWidth="1"/>
    <col min="9" max="9" width="72.7109375" customWidth="1"/>
    <col min="10" max="10" width="104.28515625" customWidth="1"/>
    <col min="11" max="11" width="15" customWidth="1"/>
    <col min="12" max="12" width="10.7109375" bestFit="1" customWidth="1"/>
    <col min="13" max="13" width="19.85546875" customWidth="1"/>
  </cols>
  <sheetData>
    <row r="1" spans="1:13" s="5" customFormat="1" ht="25.15" customHeight="1">
      <c r="A1" s="196" t="s">
        <v>17</v>
      </c>
      <c r="B1" s="197"/>
      <c r="C1" s="32" t="s">
        <v>10</v>
      </c>
      <c r="D1" s="29"/>
      <c r="E1" s="28"/>
      <c r="F1" s="28"/>
      <c r="G1" s="141"/>
      <c r="H1" s="33"/>
      <c r="I1" s="34"/>
    </row>
    <row r="2" spans="1:13" s="5" customFormat="1" ht="25.15" customHeight="1">
      <c r="A2" s="198"/>
      <c r="B2" s="199"/>
      <c r="C2" s="35" t="s">
        <v>40</v>
      </c>
      <c r="D2" s="31"/>
      <c r="E2" s="30"/>
      <c r="F2" s="30"/>
      <c r="G2" s="142"/>
      <c r="H2" s="36"/>
      <c r="I2" s="37"/>
    </row>
    <row r="3" spans="1:13" s="5" customFormat="1" ht="25.15" customHeight="1">
      <c r="A3" s="198"/>
      <c r="B3" s="199"/>
      <c r="C3" s="79" t="s">
        <v>185</v>
      </c>
      <c r="D3" s="31"/>
      <c r="E3" s="30"/>
      <c r="F3" s="30"/>
      <c r="G3" s="142"/>
      <c r="H3" s="36"/>
      <c r="I3" s="37"/>
    </row>
    <row r="4" spans="1:13" s="5" customFormat="1" ht="30" customHeight="1">
      <c r="A4" s="200"/>
      <c r="B4" s="201"/>
      <c r="C4" s="202" t="s">
        <v>139</v>
      </c>
      <c r="D4" s="203"/>
      <c r="E4" s="203"/>
      <c r="F4" s="203"/>
      <c r="G4" s="203"/>
      <c r="H4" s="203"/>
      <c r="I4" s="204"/>
    </row>
    <row r="5" spans="1:13" s="6" customFormat="1" ht="64.900000000000006" customHeight="1">
      <c r="A5" s="22" t="s">
        <v>0</v>
      </c>
      <c r="B5" s="22" t="s">
        <v>1</v>
      </c>
      <c r="C5" s="22" t="s">
        <v>16</v>
      </c>
      <c r="D5" s="23" t="s">
        <v>4</v>
      </c>
      <c r="E5" s="22" t="s">
        <v>2</v>
      </c>
      <c r="F5" s="22" t="s">
        <v>3</v>
      </c>
      <c r="G5" s="22" t="s">
        <v>178</v>
      </c>
      <c r="H5" s="22" t="s">
        <v>19</v>
      </c>
      <c r="I5" s="22" t="s">
        <v>18</v>
      </c>
      <c r="K5" s="135">
        <v>45343</v>
      </c>
      <c r="L5" s="12">
        <f>K5+45</f>
        <v>45388</v>
      </c>
      <c r="M5" s="135"/>
    </row>
    <row r="6" spans="1:13" s="1" customFormat="1" ht="60" customHeight="1">
      <c r="A6" s="73" t="s">
        <v>42</v>
      </c>
      <c r="B6" s="74" t="s">
        <v>184</v>
      </c>
      <c r="C6" s="75"/>
      <c r="D6" s="76"/>
      <c r="E6" s="137"/>
      <c r="F6" s="137"/>
      <c r="G6" s="148" t="s">
        <v>191</v>
      </c>
      <c r="H6" s="78"/>
      <c r="I6" s="78"/>
      <c r="J6" s="149" t="s">
        <v>186</v>
      </c>
    </row>
    <row r="7" spans="1:13" s="1" customFormat="1" ht="60" customHeight="1">
      <c r="A7" s="73" t="s">
        <v>5</v>
      </c>
      <c r="B7" s="74" t="s">
        <v>179</v>
      </c>
      <c r="C7" s="75"/>
      <c r="D7" s="76"/>
      <c r="E7" s="137"/>
      <c r="F7" s="137"/>
      <c r="G7" s="148" t="s">
        <v>192</v>
      </c>
      <c r="H7" s="78"/>
      <c r="I7" s="78"/>
      <c r="J7" s="149" t="s">
        <v>187</v>
      </c>
    </row>
    <row r="8" spans="1:13" s="1" customFormat="1" ht="64.5" hidden="1" customHeight="1">
      <c r="A8" s="84">
        <v>1</v>
      </c>
      <c r="B8" s="14" t="s">
        <v>176</v>
      </c>
      <c r="C8" s="15" t="s">
        <v>20</v>
      </c>
      <c r="D8" s="11"/>
      <c r="E8" s="12"/>
      <c r="F8" s="12"/>
      <c r="G8" s="143"/>
      <c r="H8" s="15"/>
      <c r="I8" s="129"/>
      <c r="J8" s="149" t="s">
        <v>24</v>
      </c>
    </row>
    <row r="9" spans="1:13" s="1" customFormat="1" ht="64.5" hidden="1" customHeight="1">
      <c r="A9" s="84">
        <v>2</v>
      </c>
      <c r="B9" s="14" t="s">
        <v>177</v>
      </c>
      <c r="C9" s="15" t="s">
        <v>21</v>
      </c>
      <c r="D9" s="11"/>
      <c r="E9" s="12"/>
      <c r="F9" s="12"/>
      <c r="G9" s="143"/>
      <c r="H9" s="15"/>
      <c r="J9" s="149"/>
    </row>
    <row r="10" spans="1:13" s="1" customFormat="1" ht="64.5" hidden="1" customHeight="1">
      <c r="A10" s="84">
        <f t="shared" ref="A10:A44" si="0">A9+1</f>
        <v>3</v>
      </c>
      <c r="B10" s="14" t="s">
        <v>155</v>
      </c>
      <c r="C10" s="15" t="s">
        <v>20</v>
      </c>
      <c r="D10" s="11"/>
      <c r="E10" s="12"/>
      <c r="F10" s="12"/>
      <c r="G10" s="143"/>
      <c r="H10" s="15"/>
      <c r="I10" s="129"/>
      <c r="J10" s="149"/>
    </row>
    <row r="11" spans="1:13" s="1" customFormat="1" ht="64.5" hidden="1" customHeight="1">
      <c r="A11" s="84">
        <f t="shared" si="0"/>
        <v>4</v>
      </c>
      <c r="B11" s="14" t="s">
        <v>159</v>
      </c>
      <c r="C11" s="15" t="s">
        <v>20</v>
      </c>
      <c r="D11" s="11"/>
      <c r="E11" s="12"/>
      <c r="F11" s="12"/>
      <c r="G11" s="143"/>
      <c r="H11" s="15"/>
      <c r="I11" s="14"/>
      <c r="J11" s="149" t="s">
        <v>24</v>
      </c>
    </row>
    <row r="12" spans="1:13" s="1" customFormat="1" ht="64.5" hidden="1" customHeight="1">
      <c r="A12" s="84">
        <f t="shared" si="0"/>
        <v>5</v>
      </c>
      <c r="B12" s="14" t="s">
        <v>156</v>
      </c>
      <c r="C12" s="15" t="s">
        <v>22</v>
      </c>
      <c r="D12" s="11"/>
      <c r="E12" s="12"/>
      <c r="F12" s="12"/>
      <c r="G12" s="143"/>
      <c r="H12" s="15"/>
      <c r="I12" s="14"/>
      <c r="J12" s="149" t="s">
        <v>23</v>
      </c>
    </row>
    <row r="13" spans="1:13" s="1" customFormat="1" ht="64.5" hidden="1" customHeight="1">
      <c r="A13" s="84">
        <f t="shared" si="0"/>
        <v>6</v>
      </c>
      <c r="B13" s="14" t="s">
        <v>157</v>
      </c>
      <c r="C13" s="15" t="s">
        <v>20</v>
      </c>
      <c r="D13" s="11"/>
      <c r="E13" s="12"/>
      <c r="F13" s="12"/>
      <c r="G13" s="143"/>
      <c r="H13" s="15"/>
      <c r="I13" s="14"/>
      <c r="J13" s="149" t="s">
        <v>26</v>
      </c>
    </row>
    <row r="14" spans="1:13" s="1" customFormat="1" ht="64.5" hidden="1" customHeight="1">
      <c r="A14" s="84">
        <f t="shared" si="0"/>
        <v>7</v>
      </c>
      <c r="B14" s="14" t="s">
        <v>158</v>
      </c>
      <c r="C14" s="15" t="s">
        <v>20</v>
      </c>
      <c r="D14" s="11"/>
      <c r="E14" s="12"/>
      <c r="F14" s="12"/>
      <c r="G14" s="143"/>
      <c r="H14" s="15"/>
      <c r="J14" s="149"/>
    </row>
    <row r="15" spans="1:13" s="1" customFormat="1" ht="64.5" hidden="1" customHeight="1">
      <c r="A15" s="84">
        <f t="shared" si="0"/>
        <v>8</v>
      </c>
      <c r="B15" s="130" t="s">
        <v>160</v>
      </c>
      <c r="C15" s="131" t="s">
        <v>22</v>
      </c>
      <c r="D15" s="132"/>
      <c r="E15" s="136"/>
      <c r="F15" s="134"/>
      <c r="G15" s="144"/>
      <c r="H15" s="131"/>
      <c r="I15" s="130"/>
      <c r="J15" s="149" t="s">
        <v>23</v>
      </c>
    </row>
    <row r="16" spans="1:13" s="1" customFormat="1" ht="60" customHeight="1">
      <c r="A16" s="73" t="s">
        <v>6</v>
      </c>
      <c r="B16" s="74" t="s">
        <v>180</v>
      </c>
      <c r="C16" s="75"/>
      <c r="D16" s="76"/>
      <c r="E16" s="137"/>
      <c r="F16" s="137"/>
      <c r="G16" s="148" t="s">
        <v>193</v>
      </c>
      <c r="H16" s="78"/>
      <c r="I16" s="78"/>
      <c r="J16" s="149" t="s">
        <v>188</v>
      </c>
    </row>
    <row r="17" spans="1:10" s="1" customFormat="1" ht="54.75" hidden="1" customHeight="1">
      <c r="A17" s="84">
        <v>1</v>
      </c>
      <c r="B17" s="14" t="s">
        <v>176</v>
      </c>
      <c r="C17" s="68" t="s">
        <v>21</v>
      </c>
      <c r="D17" s="66"/>
      <c r="E17" s="67"/>
      <c r="F17" s="67"/>
      <c r="G17" s="145"/>
      <c r="H17" s="68"/>
      <c r="I17" s="47"/>
      <c r="J17" s="149" t="s">
        <v>24</v>
      </c>
    </row>
    <row r="18" spans="1:10" s="1" customFormat="1" ht="54.75" hidden="1" customHeight="1">
      <c r="A18" s="84">
        <v>2</v>
      </c>
      <c r="B18" s="14" t="s">
        <v>177</v>
      </c>
      <c r="C18" s="15" t="s">
        <v>21</v>
      </c>
      <c r="D18" s="11"/>
      <c r="E18" s="12"/>
      <c r="F18" s="12"/>
      <c r="G18" s="143"/>
      <c r="H18" s="68"/>
      <c r="J18" s="149"/>
    </row>
    <row r="19" spans="1:10" s="1" customFormat="1" ht="54.75" hidden="1" customHeight="1" outlineLevel="1">
      <c r="A19" s="87" t="s">
        <v>55</v>
      </c>
      <c r="B19" s="88" t="s">
        <v>52</v>
      </c>
      <c r="C19" s="89" t="s">
        <v>51</v>
      </c>
      <c r="D19" s="90">
        <v>1</v>
      </c>
      <c r="E19" s="91"/>
      <c r="F19" s="91"/>
      <c r="G19" s="146"/>
      <c r="H19" s="92"/>
      <c r="I19" s="205"/>
      <c r="J19" s="149" t="s">
        <v>91</v>
      </c>
    </row>
    <row r="20" spans="1:10" s="1" customFormat="1" ht="54.75" hidden="1" customHeight="1" outlineLevel="1">
      <c r="A20" s="87" t="s">
        <v>56</v>
      </c>
      <c r="B20" s="88" t="s">
        <v>69</v>
      </c>
      <c r="C20" s="95" t="s">
        <v>65</v>
      </c>
      <c r="D20" s="90">
        <v>1</v>
      </c>
      <c r="E20" s="91"/>
      <c r="F20" s="91"/>
      <c r="G20" s="146"/>
      <c r="H20" s="92"/>
      <c r="I20" s="206"/>
      <c r="J20" s="149"/>
    </row>
    <row r="21" spans="1:10" s="1" customFormat="1" ht="54.75" hidden="1" customHeight="1" outlineLevel="1">
      <c r="A21" s="87" t="s">
        <v>57</v>
      </c>
      <c r="B21" s="88" t="s">
        <v>71</v>
      </c>
      <c r="C21" s="95" t="s">
        <v>68</v>
      </c>
      <c r="D21" s="90">
        <v>1</v>
      </c>
      <c r="E21" s="91"/>
      <c r="F21" s="91"/>
      <c r="G21" s="146"/>
      <c r="H21" s="92"/>
      <c r="I21" s="206"/>
      <c r="J21" s="149"/>
    </row>
    <row r="22" spans="1:10" s="1" customFormat="1" ht="54.75" hidden="1" customHeight="1" outlineLevel="1">
      <c r="A22" s="87" t="s">
        <v>58</v>
      </c>
      <c r="B22" s="88" t="s">
        <v>66</v>
      </c>
      <c r="C22" s="89" t="s">
        <v>67</v>
      </c>
      <c r="D22" s="90">
        <v>1</v>
      </c>
      <c r="E22" s="91"/>
      <c r="F22" s="91"/>
      <c r="G22" s="146"/>
      <c r="H22" s="92"/>
      <c r="I22" s="206"/>
      <c r="J22" s="149"/>
    </row>
    <row r="23" spans="1:10" s="1" customFormat="1" ht="54.75" hidden="1" customHeight="1" outlineLevel="1">
      <c r="A23" s="87" t="s">
        <v>59</v>
      </c>
      <c r="B23" s="88" t="s">
        <v>70</v>
      </c>
      <c r="C23" s="95" t="s">
        <v>65</v>
      </c>
      <c r="D23" s="90">
        <v>1</v>
      </c>
      <c r="E23" s="91"/>
      <c r="F23" s="91"/>
      <c r="G23" s="146"/>
      <c r="H23" s="92"/>
      <c r="I23" s="207"/>
      <c r="J23" s="149"/>
    </row>
    <row r="24" spans="1:10" s="1" customFormat="1" ht="54.75" hidden="1" customHeight="1" outlineLevel="1">
      <c r="A24" s="87" t="s">
        <v>60</v>
      </c>
      <c r="B24" s="88" t="s">
        <v>115</v>
      </c>
      <c r="C24" s="95" t="s">
        <v>65</v>
      </c>
      <c r="D24" s="90">
        <v>1</v>
      </c>
      <c r="E24" s="91"/>
      <c r="F24" s="91"/>
      <c r="G24" s="146"/>
      <c r="H24" s="92"/>
      <c r="I24" s="93"/>
      <c r="J24" s="149"/>
    </row>
    <row r="25" spans="1:10" s="1" customFormat="1" ht="54.75" hidden="1" customHeight="1" outlineLevel="1">
      <c r="A25" s="87" t="s">
        <v>61</v>
      </c>
      <c r="B25" s="88" t="s">
        <v>116</v>
      </c>
      <c r="C25" s="95" t="s">
        <v>72</v>
      </c>
      <c r="D25" s="90">
        <v>1</v>
      </c>
      <c r="E25" s="91"/>
      <c r="F25" s="91"/>
      <c r="G25" s="146"/>
      <c r="H25" s="92"/>
      <c r="I25" s="94"/>
      <c r="J25" s="149" t="s">
        <v>83</v>
      </c>
    </row>
    <row r="26" spans="1:10" s="1" customFormat="1" ht="54.75" hidden="1" customHeight="1" outlineLevel="1">
      <c r="A26" s="87" t="s">
        <v>62</v>
      </c>
      <c r="B26" s="88" t="s">
        <v>131</v>
      </c>
      <c r="C26" s="95" t="s">
        <v>72</v>
      </c>
      <c r="D26" s="90">
        <v>1</v>
      </c>
      <c r="E26" s="91"/>
      <c r="F26" s="91"/>
      <c r="G26" s="146"/>
      <c r="H26" s="92"/>
      <c r="I26" s="94"/>
      <c r="J26" s="149"/>
    </row>
    <row r="27" spans="1:10" s="1" customFormat="1" ht="54.75" hidden="1" customHeight="1" outlineLevel="1">
      <c r="A27" s="87" t="s">
        <v>63</v>
      </c>
      <c r="B27" s="88" t="s">
        <v>117</v>
      </c>
      <c r="C27" s="95" t="s">
        <v>85</v>
      </c>
      <c r="D27" s="90">
        <v>1</v>
      </c>
      <c r="E27" s="91"/>
      <c r="F27" s="91"/>
      <c r="G27" s="146"/>
      <c r="H27" s="92"/>
      <c r="I27" s="94"/>
      <c r="J27" s="149"/>
    </row>
    <row r="28" spans="1:10" s="1" customFormat="1" ht="54.75" hidden="1" customHeight="1" outlineLevel="1">
      <c r="A28" s="87" t="s">
        <v>64</v>
      </c>
      <c r="B28" s="88" t="s">
        <v>87</v>
      </c>
      <c r="C28" s="95" t="s">
        <v>72</v>
      </c>
      <c r="D28" s="90">
        <v>1</v>
      </c>
      <c r="E28" s="91"/>
      <c r="F28" s="91"/>
      <c r="G28" s="146"/>
      <c r="H28" s="92"/>
      <c r="I28" s="94"/>
      <c r="J28" s="149"/>
    </row>
    <row r="29" spans="1:10" s="1" customFormat="1" ht="54.75" hidden="1" customHeight="1" outlineLevel="1">
      <c r="A29" s="87" t="s">
        <v>92</v>
      </c>
      <c r="B29" s="88" t="s">
        <v>128</v>
      </c>
      <c r="C29" s="95" t="s">
        <v>72</v>
      </c>
      <c r="D29" s="90">
        <v>1</v>
      </c>
      <c r="E29" s="91"/>
      <c r="F29" s="91"/>
      <c r="G29" s="146"/>
      <c r="H29" s="92"/>
      <c r="I29" s="94"/>
      <c r="J29" s="149"/>
    </row>
    <row r="30" spans="1:10" s="1" customFormat="1" ht="54.75" hidden="1" customHeight="1" outlineLevel="1">
      <c r="A30" s="87" t="s">
        <v>93</v>
      </c>
      <c r="B30" s="88" t="s">
        <v>118</v>
      </c>
      <c r="C30" s="95" t="s">
        <v>65</v>
      </c>
      <c r="D30" s="90">
        <v>1</v>
      </c>
      <c r="E30" s="91"/>
      <c r="F30" s="91"/>
      <c r="G30" s="146"/>
      <c r="H30" s="92"/>
      <c r="I30" s="94"/>
      <c r="J30" s="149" t="s">
        <v>105</v>
      </c>
    </row>
    <row r="31" spans="1:10" s="1" customFormat="1" ht="54.75" hidden="1" customHeight="1" outlineLevel="1">
      <c r="A31" s="87" t="s">
        <v>94</v>
      </c>
      <c r="B31" s="88" t="s">
        <v>134</v>
      </c>
      <c r="C31" s="95" t="s">
        <v>72</v>
      </c>
      <c r="D31" s="90">
        <v>1</v>
      </c>
      <c r="E31" s="91"/>
      <c r="F31" s="91"/>
      <c r="G31" s="146"/>
      <c r="H31" s="92"/>
      <c r="I31" s="115"/>
      <c r="J31" s="149"/>
    </row>
    <row r="32" spans="1:10" s="1" customFormat="1" ht="54.75" hidden="1" customHeight="1" outlineLevel="1">
      <c r="A32" s="87" t="s">
        <v>95</v>
      </c>
      <c r="B32" s="114" t="s">
        <v>142</v>
      </c>
      <c r="C32" s="95" t="s">
        <v>20</v>
      </c>
      <c r="D32" s="90">
        <v>1</v>
      </c>
      <c r="E32" s="91"/>
      <c r="F32" s="91"/>
      <c r="G32" s="146"/>
      <c r="H32" s="92"/>
      <c r="I32" s="94"/>
      <c r="J32" s="149"/>
    </row>
    <row r="33" spans="1:10" s="1" customFormat="1" ht="54.75" hidden="1" customHeight="1" outlineLevel="1">
      <c r="A33" s="87" t="s">
        <v>96</v>
      </c>
      <c r="B33" s="114" t="s">
        <v>132</v>
      </c>
      <c r="C33" s="95" t="s">
        <v>144</v>
      </c>
      <c r="D33" s="90">
        <v>1</v>
      </c>
      <c r="E33" s="91"/>
      <c r="F33" s="91"/>
      <c r="G33" s="146"/>
      <c r="H33" s="92"/>
      <c r="I33" s="94"/>
      <c r="J33" s="149"/>
    </row>
    <row r="34" spans="1:10" s="1" customFormat="1" ht="54.75" hidden="1" customHeight="1" outlineLevel="1">
      <c r="A34" s="87" t="s">
        <v>109</v>
      </c>
      <c r="B34" s="88" t="s">
        <v>129</v>
      </c>
      <c r="C34" s="95" t="s">
        <v>143</v>
      </c>
      <c r="D34" s="90">
        <v>1</v>
      </c>
      <c r="E34" s="91"/>
      <c r="F34" s="91"/>
      <c r="G34" s="146"/>
      <c r="H34" s="92"/>
      <c r="I34" s="94"/>
      <c r="J34" s="149"/>
    </row>
    <row r="35" spans="1:10" s="1" customFormat="1" ht="54.75" hidden="1" customHeight="1" outlineLevel="1">
      <c r="A35" s="87" t="s">
        <v>110</v>
      </c>
      <c r="B35" s="114" t="s">
        <v>145</v>
      </c>
      <c r="C35" s="95" t="s">
        <v>143</v>
      </c>
      <c r="D35" s="90">
        <v>1</v>
      </c>
      <c r="E35" s="91"/>
      <c r="F35" s="91"/>
      <c r="G35" s="146"/>
      <c r="H35" s="92"/>
      <c r="I35" s="114"/>
      <c r="J35" s="149"/>
    </row>
    <row r="36" spans="1:10" s="1" customFormat="1" ht="54.75" hidden="1" customHeight="1" outlineLevel="1">
      <c r="A36" s="87" t="s">
        <v>111</v>
      </c>
      <c r="B36" s="88" t="s">
        <v>148</v>
      </c>
      <c r="C36" s="95" t="s">
        <v>146</v>
      </c>
      <c r="D36" s="90"/>
      <c r="E36" s="91"/>
      <c r="F36" s="91"/>
      <c r="G36" s="146"/>
      <c r="H36" s="92"/>
      <c r="I36" s="94"/>
      <c r="J36" s="149"/>
    </row>
    <row r="37" spans="1:10" s="1" customFormat="1" ht="54.75" hidden="1" customHeight="1" outlineLevel="1">
      <c r="A37" s="87" t="s">
        <v>112</v>
      </c>
      <c r="B37" s="127" t="s">
        <v>151</v>
      </c>
      <c r="C37" s="95" t="s">
        <v>150</v>
      </c>
      <c r="D37" s="90"/>
      <c r="E37" s="91"/>
      <c r="F37" s="91"/>
      <c r="G37" s="146"/>
      <c r="H37" s="128"/>
      <c r="I37" s="115"/>
      <c r="J37" s="149"/>
    </row>
    <row r="38" spans="1:10" s="1" customFormat="1" ht="54.75" hidden="1" customHeight="1" outlineLevel="1">
      <c r="A38" s="87" t="s">
        <v>112</v>
      </c>
      <c r="B38" s="88" t="s">
        <v>135</v>
      </c>
      <c r="C38" s="95" t="s">
        <v>72</v>
      </c>
      <c r="D38" s="90"/>
      <c r="E38" s="91"/>
      <c r="F38" s="91"/>
      <c r="G38" s="146"/>
      <c r="H38" s="92"/>
      <c r="I38" s="115"/>
      <c r="J38" s="149"/>
    </row>
    <row r="39" spans="1:10" s="1" customFormat="1" ht="54.75" hidden="1" customHeight="1" collapsed="1">
      <c r="A39" s="84">
        <v>3</v>
      </c>
      <c r="B39" s="14" t="s">
        <v>155</v>
      </c>
      <c r="C39" s="15" t="s">
        <v>20</v>
      </c>
      <c r="D39" s="11"/>
      <c r="E39" s="12"/>
      <c r="F39" s="12"/>
      <c r="G39" s="143"/>
      <c r="H39" s="68"/>
      <c r="I39" s="47"/>
      <c r="J39" s="149"/>
    </row>
    <row r="40" spans="1:10" s="1" customFormat="1" ht="54.75" hidden="1" customHeight="1">
      <c r="A40" s="84">
        <f t="shared" si="0"/>
        <v>4</v>
      </c>
      <c r="B40" s="14" t="s">
        <v>159</v>
      </c>
      <c r="C40" s="15" t="s">
        <v>20</v>
      </c>
      <c r="D40" s="11"/>
      <c r="E40" s="12"/>
      <c r="F40" s="12"/>
      <c r="G40" s="143"/>
      <c r="H40" s="68"/>
      <c r="I40" s="59"/>
      <c r="J40" s="149" t="s">
        <v>24</v>
      </c>
    </row>
    <row r="41" spans="1:10" s="1" customFormat="1" ht="54.75" hidden="1" customHeight="1">
      <c r="A41" s="84">
        <f t="shared" si="0"/>
        <v>5</v>
      </c>
      <c r="B41" s="14" t="s">
        <v>156</v>
      </c>
      <c r="C41" s="15" t="s">
        <v>22</v>
      </c>
      <c r="D41" s="11"/>
      <c r="E41" s="12"/>
      <c r="F41" s="12"/>
      <c r="G41" s="143"/>
      <c r="H41" s="68"/>
      <c r="I41" s="59"/>
      <c r="J41" s="149" t="s">
        <v>23</v>
      </c>
    </row>
    <row r="42" spans="1:10" s="1" customFormat="1" ht="54.75" hidden="1" customHeight="1">
      <c r="A42" s="84">
        <f t="shared" si="0"/>
        <v>6</v>
      </c>
      <c r="B42" s="14" t="s">
        <v>157</v>
      </c>
      <c r="C42" s="15" t="s">
        <v>20</v>
      </c>
      <c r="D42" s="11"/>
      <c r="E42" s="12"/>
      <c r="F42" s="12"/>
      <c r="G42" s="143"/>
      <c r="H42" s="68"/>
      <c r="I42" s="59"/>
      <c r="J42" s="149" t="s">
        <v>26</v>
      </c>
    </row>
    <row r="43" spans="1:10" s="1" customFormat="1" ht="54.75" hidden="1" customHeight="1">
      <c r="A43" s="84">
        <f t="shared" si="0"/>
        <v>7</v>
      </c>
      <c r="B43" s="14" t="s">
        <v>158</v>
      </c>
      <c r="C43" s="15" t="s">
        <v>20</v>
      </c>
      <c r="D43" s="11"/>
      <c r="E43" s="12"/>
      <c r="F43" s="12"/>
      <c r="G43" s="143"/>
      <c r="H43" s="68"/>
      <c r="I43" s="59"/>
      <c r="J43" s="149"/>
    </row>
    <row r="44" spans="1:10" s="1" customFormat="1" ht="19.5" hidden="1">
      <c r="A44" s="138">
        <f t="shared" si="0"/>
        <v>8</v>
      </c>
      <c r="B44" s="130" t="s">
        <v>160</v>
      </c>
      <c r="C44" s="131" t="s">
        <v>22</v>
      </c>
      <c r="D44" s="132"/>
      <c r="E44" s="133"/>
      <c r="F44" s="134"/>
      <c r="G44" s="144"/>
      <c r="H44" s="131"/>
      <c r="I44" s="130"/>
      <c r="J44" s="149" t="s">
        <v>23</v>
      </c>
    </row>
    <row r="45" spans="1:10" s="5" customFormat="1" ht="46.5" customHeight="1">
      <c r="A45" s="73" t="s">
        <v>7</v>
      </c>
      <c r="B45" s="74" t="s">
        <v>181</v>
      </c>
      <c r="C45" s="75"/>
      <c r="D45" s="76"/>
      <c r="E45" s="137"/>
      <c r="F45" s="137"/>
      <c r="G45" s="148" t="s">
        <v>194</v>
      </c>
      <c r="H45" s="78"/>
      <c r="I45" s="78"/>
      <c r="J45" s="150" t="s">
        <v>189</v>
      </c>
    </row>
    <row r="46" spans="1:10" s="5" customFormat="1" ht="52.5" hidden="1" customHeight="1">
      <c r="A46" s="84">
        <v>1</v>
      </c>
      <c r="B46" s="14" t="s">
        <v>176</v>
      </c>
      <c r="C46" s="15" t="s">
        <v>21</v>
      </c>
      <c r="D46" s="11"/>
      <c r="E46" s="12"/>
      <c r="F46" s="12"/>
      <c r="G46" s="143"/>
      <c r="H46" s="15"/>
      <c r="I46" s="129"/>
      <c r="J46" s="150"/>
    </row>
    <row r="47" spans="1:10" s="5" customFormat="1" ht="52.5" hidden="1" customHeight="1">
      <c r="A47" s="84">
        <v>2</v>
      </c>
      <c r="B47" s="14" t="s">
        <v>177</v>
      </c>
      <c r="C47" s="15" t="s">
        <v>21</v>
      </c>
      <c r="D47" s="11"/>
      <c r="E47" s="12"/>
      <c r="F47" s="12"/>
      <c r="G47" s="143"/>
      <c r="H47" s="15"/>
      <c r="I47" s="129"/>
      <c r="J47" s="150" t="s">
        <v>24</v>
      </c>
    </row>
    <row r="48" spans="1:10" s="5" customFormat="1" ht="52.5" hidden="1" customHeight="1">
      <c r="A48" s="84">
        <f t="shared" ref="A48:A53" si="1">A47+1</f>
        <v>3</v>
      </c>
      <c r="B48" s="14" t="s">
        <v>155</v>
      </c>
      <c r="C48" s="15" t="s">
        <v>20</v>
      </c>
      <c r="D48" s="11"/>
      <c r="E48" s="12"/>
      <c r="F48" s="12"/>
      <c r="G48" s="143"/>
      <c r="H48" s="15"/>
      <c r="I48" s="129"/>
      <c r="J48" s="150"/>
    </row>
    <row r="49" spans="1:10" s="5" customFormat="1" ht="52.5" hidden="1" customHeight="1">
      <c r="A49" s="84">
        <f t="shared" si="1"/>
        <v>4</v>
      </c>
      <c r="B49" s="14" t="s">
        <v>159</v>
      </c>
      <c r="C49" s="15" t="s">
        <v>20</v>
      </c>
      <c r="D49" s="11"/>
      <c r="E49" s="12"/>
      <c r="F49" s="12"/>
      <c r="G49" s="143"/>
      <c r="H49" s="15"/>
      <c r="I49" s="14"/>
      <c r="J49" s="150" t="s">
        <v>24</v>
      </c>
    </row>
    <row r="50" spans="1:10" s="5" customFormat="1" ht="52.5" hidden="1" customHeight="1">
      <c r="A50" s="84">
        <f t="shared" si="1"/>
        <v>5</v>
      </c>
      <c r="B50" s="14" t="s">
        <v>156</v>
      </c>
      <c r="C50" s="15" t="s">
        <v>22</v>
      </c>
      <c r="D50" s="11"/>
      <c r="E50" s="12"/>
      <c r="F50" s="12"/>
      <c r="G50" s="143"/>
      <c r="H50" s="15"/>
      <c r="I50" s="14"/>
      <c r="J50" s="150" t="s">
        <v>23</v>
      </c>
    </row>
    <row r="51" spans="1:10" s="5" customFormat="1" ht="52.5" hidden="1" customHeight="1">
      <c r="A51" s="84">
        <f t="shared" si="1"/>
        <v>6</v>
      </c>
      <c r="B51" s="14" t="s">
        <v>157</v>
      </c>
      <c r="C51" s="15" t="s">
        <v>20</v>
      </c>
      <c r="D51" s="11"/>
      <c r="E51" s="12"/>
      <c r="F51" s="12"/>
      <c r="G51" s="143"/>
      <c r="H51" s="15"/>
      <c r="I51" s="14"/>
      <c r="J51" s="150" t="s">
        <v>26</v>
      </c>
    </row>
    <row r="52" spans="1:10" s="5" customFormat="1" ht="52.5" hidden="1" customHeight="1">
      <c r="A52" s="84">
        <f t="shared" si="1"/>
        <v>7</v>
      </c>
      <c r="B52" s="14" t="s">
        <v>158</v>
      </c>
      <c r="C52" s="15" t="s">
        <v>20</v>
      </c>
      <c r="D52" s="11"/>
      <c r="E52" s="12"/>
      <c r="F52" s="12"/>
      <c r="G52" s="143"/>
      <c r="H52" s="15"/>
      <c r="I52" s="1"/>
      <c r="J52" s="150"/>
    </row>
    <row r="53" spans="1:10" s="5" customFormat="1" ht="52.5" hidden="1" customHeight="1">
      <c r="A53" s="84">
        <f t="shared" si="1"/>
        <v>8</v>
      </c>
      <c r="B53" s="130" t="s">
        <v>160</v>
      </c>
      <c r="C53" s="131" t="s">
        <v>22</v>
      </c>
      <c r="D53" s="132"/>
      <c r="E53" s="136"/>
      <c r="F53" s="134"/>
      <c r="G53" s="144"/>
      <c r="H53" s="131"/>
      <c r="I53" s="130"/>
      <c r="J53" s="150" t="s">
        <v>23</v>
      </c>
    </row>
    <row r="54" spans="1:10" s="5" customFormat="1" ht="70.900000000000006" customHeight="1">
      <c r="A54" s="73" t="s">
        <v>183</v>
      </c>
      <c r="B54" s="74" t="s">
        <v>182</v>
      </c>
      <c r="C54" s="75"/>
      <c r="D54" s="76"/>
      <c r="E54" s="137"/>
      <c r="F54" s="137"/>
      <c r="G54" s="148" t="s">
        <v>195</v>
      </c>
      <c r="H54" s="78"/>
      <c r="I54" s="78"/>
      <c r="J54" s="150" t="s">
        <v>190</v>
      </c>
    </row>
    <row r="55" spans="1:10" s="5" customFormat="1" ht="52.5" hidden="1" customHeight="1">
      <c r="A55" s="84">
        <v>1</v>
      </c>
      <c r="B55" s="14" t="s">
        <v>176</v>
      </c>
      <c r="C55" s="15" t="s">
        <v>20</v>
      </c>
      <c r="D55" s="11"/>
      <c r="E55" s="12">
        <v>45427</v>
      </c>
      <c r="F55" s="12">
        <f t="shared" ref="F55:F62" si="2">E55+H55-1</f>
        <v>45428</v>
      </c>
      <c r="G55" s="143"/>
      <c r="H55" s="15">
        <v>2</v>
      </c>
      <c r="I55" s="129"/>
    </row>
    <row r="56" spans="1:10" s="5" customFormat="1" ht="52.5" hidden="1" customHeight="1">
      <c r="A56" s="84">
        <v>2</v>
      </c>
      <c r="B56" s="14" t="s">
        <v>177</v>
      </c>
      <c r="C56" s="15" t="s">
        <v>21</v>
      </c>
      <c r="D56" s="11"/>
      <c r="E56" s="12">
        <f t="shared" ref="E56:E62" si="3">F55+1</f>
        <v>45429</v>
      </c>
      <c r="F56" s="12">
        <f t="shared" si="2"/>
        <v>45435</v>
      </c>
      <c r="G56" s="143"/>
      <c r="H56" s="15">
        <v>7</v>
      </c>
      <c r="I56" s="129" t="s">
        <v>24</v>
      </c>
    </row>
    <row r="57" spans="1:10" s="5" customFormat="1" ht="52.5" hidden="1" customHeight="1">
      <c r="A57" s="84">
        <f t="shared" ref="A57:A62" si="4">A56+1</f>
        <v>3</v>
      </c>
      <c r="B57" s="14" t="s">
        <v>155</v>
      </c>
      <c r="C57" s="15" t="s">
        <v>20</v>
      </c>
      <c r="D57" s="11"/>
      <c r="E57" s="12">
        <f t="shared" si="3"/>
        <v>45436</v>
      </c>
      <c r="F57" s="12">
        <f t="shared" si="2"/>
        <v>45442</v>
      </c>
      <c r="G57" s="143"/>
      <c r="H57" s="15">
        <v>7</v>
      </c>
      <c r="I57" s="129"/>
    </row>
    <row r="58" spans="1:10" s="5" customFormat="1" ht="52.5" hidden="1" customHeight="1">
      <c r="A58" s="84">
        <f t="shared" si="4"/>
        <v>4</v>
      </c>
      <c r="B58" s="14" t="s">
        <v>159</v>
      </c>
      <c r="C58" s="15" t="s">
        <v>20</v>
      </c>
      <c r="D58" s="11"/>
      <c r="E58" s="12">
        <f t="shared" si="3"/>
        <v>45443</v>
      </c>
      <c r="F58" s="12">
        <f t="shared" si="2"/>
        <v>45444</v>
      </c>
      <c r="G58" s="143"/>
      <c r="H58" s="15">
        <v>2</v>
      </c>
      <c r="I58" s="14" t="s">
        <v>24</v>
      </c>
    </row>
    <row r="59" spans="1:10" s="5" customFormat="1" ht="52.5" hidden="1" customHeight="1">
      <c r="A59" s="84">
        <f t="shared" si="4"/>
        <v>5</v>
      </c>
      <c r="B59" s="14" t="s">
        <v>156</v>
      </c>
      <c r="C59" s="15" t="s">
        <v>22</v>
      </c>
      <c r="D59" s="11"/>
      <c r="E59" s="12">
        <f t="shared" si="3"/>
        <v>45445</v>
      </c>
      <c r="F59" s="12">
        <f t="shared" si="2"/>
        <v>45451</v>
      </c>
      <c r="G59" s="143"/>
      <c r="H59" s="15">
        <v>7</v>
      </c>
      <c r="I59" s="14" t="s">
        <v>23</v>
      </c>
    </row>
    <row r="60" spans="1:10" s="5" customFormat="1" ht="52.5" hidden="1" customHeight="1">
      <c r="A60" s="84">
        <f t="shared" si="4"/>
        <v>6</v>
      </c>
      <c r="B60" s="14" t="s">
        <v>157</v>
      </c>
      <c r="C60" s="15" t="s">
        <v>20</v>
      </c>
      <c r="D60" s="11"/>
      <c r="E60" s="12">
        <f t="shared" si="3"/>
        <v>45452</v>
      </c>
      <c r="F60" s="12">
        <f t="shared" si="2"/>
        <v>45458</v>
      </c>
      <c r="G60" s="143"/>
      <c r="H60" s="15">
        <v>7</v>
      </c>
      <c r="I60" s="14" t="s">
        <v>26</v>
      </c>
    </row>
    <row r="61" spans="1:10" s="5" customFormat="1" ht="52.5" hidden="1" customHeight="1">
      <c r="A61" s="84">
        <f t="shared" si="4"/>
        <v>7</v>
      </c>
      <c r="B61" s="14" t="s">
        <v>158</v>
      </c>
      <c r="C61" s="15" t="s">
        <v>20</v>
      </c>
      <c r="D61" s="11"/>
      <c r="E61" s="12">
        <f t="shared" si="3"/>
        <v>45459</v>
      </c>
      <c r="F61" s="12">
        <f t="shared" si="2"/>
        <v>45460</v>
      </c>
      <c r="G61" s="143"/>
      <c r="H61" s="15">
        <v>2</v>
      </c>
      <c r="I61" s="1"/>
    </row>
    <row r="62" spans="1:10" s="5" customFormat="1" ht="52.5" hidden="1" customHeight="1">
      <c r="A62" s="84">
        <f t="shared" si="4"/>
        <v>8</v>
      </c>
      <c r="B62" s="130" t="s">
        <v>160</v>
      </c>
      <c r="C62" s="131" t="s">
        <v>22</v>
      </c>
      <c r="D62" s="132"/>
      <c r="E62" s="136">
        <f t="shared" si="3"/>
        <v>45461</v>
      </c>
      <c r="F62" s="134">
        <f t="shared" si="2"/>
        <v>45467</v>
      </c>
      <c r="G62" s="144"/>
      <c r="H62" s="131">
        <v>7</v>
      </c>
      <c r="I62" s="130" t="s">
        <v>23</v>
      </c>
    </row>
  </sheetData>
  <mergeCells count="3">
    <mergeCell ref="A1:B4"/>
    <mergeCell ref="C4:I4"/>
    <mergeCell ref="I19:I23"/>
  </mergeCells>
  <pageMargins left="0.7" right="0.7" top="0.75" bottom="0.75" header="0.3" footer="0.3"/>
  <pageSetup paperSize="9" scale="49" fitToHeight="0"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M70"/>
  <sheetViews>
    <sheetView tabSelected="1" view="pageBreakPreview" zoomScale="70" zoomScaleNormal="70" zoomScaleSheetLayoutView="70" workbookViewId="0">
      <selection activeCell="F25" sqref="F25:F26"/>
    </sheetView>
  </sheetViews>
  <sheetFormatPr defaultColWidth="9.140625" defaultRowHeight="15"/>
  <cols>
    <col min="1" max="1" width="13.28515625" style="184" customWidth="1"/>
    <col min="2" max="2" width="44.5703125" style="184" customWidth="1"/>
    <col min="3" max="4" width="45.85546875" style="184" customWidth="1"/>
    <col min="5" max="5" width="49.42578125" style="184" customWidth="1"/>
    <col min="6" max="6" width="56.28515625" style="184" customWidth="1"/>
    <col min="7" max="7" width="49.42578125" style="184" customWidth="1"/>
    <col min="8" max="8" width="19.85546875" style="184" customWidth="1"/>
    <col min="9" max="16384" width="9.140625" style="184"/>
  </cols>
  <sheetData>
    <row r="1" spans="1:13" s="180" customFormat="1" ht="25.15" customHeight="1">
      <c r="A1" s="219"/>
      <c r="B1" s="220"/>
      <c r="C1" s="218" t="s">
        <v>222</v>
      </c>
      <c r="D1" s="218"/>
      <c r="E1" s="218"/>
      <c r="F1" s="218"/>
      <c r="G1" s="218"/>
    </row>
    <row r="2" spans="1:13" s="180" customFormat="1" ht="25.15" customHeight="1">
      <c r="A2" s="221"/>
      <c r="B2" s="222"/>
      <c r="C2" s="218" t="s">
        <v>243</v>
      </c>
      <c r="D2" s="218"/>
      <c r="E2" s="218"/>
      <c r="F2" s="218"/>
      <c r="G2" s="218"/>
    </row>
    <row r="3" spans="1:13" s="180" customFormat="1" ht="25.15" customHeight="1">
      <c r="A3" s="221"/>
      <c r="B3" s="222"/>
      <c r="C3" s="217" t="s">
        <v>244</v>
      </c>
      <c r="D3" s="217"/>
      <c r="E3" s="217"/>
      <c r="F3" s="217"/>
      <c r="G3" s="217"/>
    </row>
    <row r="4" spans="1:13" s="180" customFormat="1" ht="30" customHeight="1">
      <c r="A4" s="223"/>
      <c r="B4" s="224"/>
      <c r="C4" s="214" t="s">
        <v>227</v>
      </c>
      <c r="D4" s="215"/>
      <c r="E4" s="215"/>
      <c r="F4" s="215"/>
      <c r="G4" s="216"/>
    </row>
    <row r="5" spans="1:13" s="180" customFormat="1" ht="30" customHeight="1">
      <c r="A5" s="194" t="s">
        <v>0</v>
      </c>
      <c r="B5" s="194" t="s">
        <v>221</v>
      </c>
      <c r="C5" s="225" t="s">
        <v>225</v>
      </c>
      <c r="D5" s="226"/>
      <c r="E5" s="227" t="s">
        <v>226</v>
      </c>
      <c r="F5" s="228"/>
      <c r="G5" s="212" t="s">
        <v>200</v>
      </c>
    </row>
    <row r="6" spans="1:13" s="182" customFormat="1" ht="33" customHeight="1">
      <c r="A6" s="195" t="s">
        <v>256</v>
      </c>
      <c r="B6" s="195" t="s">
        <v>257</v>
      </c>
      <c r="C6" s="181" t="s">
        <v>223</v>
      </c>
      <c r="D6" s="181" t="s">
        <v>224</v>
      </c>
      <c r="E6" s="193" t="s">
        <v>223</v>
      </c>
      <c r="F6" s="193" t="s">
        <v>224</v>
      </c>
      <c r="G6" s="213"/>
    </row>
    <row r="7" spans="1:13" s="183" customFormat="1" ht="133.5" customHeight="1">
      <c r="A7" s="188">
        <v>1</v>
      </c>
      <c r="B7" s="189" t="s">
        <v>246</v>
      </c>
      <c r="C7" s="185" t="s">
        <v>245</v>
      </c>
      <c r="D7" s="208"/>
      <c r="E7" s="186" t="s">
        <v>260</v>
      </c>
      <c r="F7" s="208"/>
      <c r="G7" s="210"/>
    </row>
    <row r="8" spans="1:13" s="183" customFormat="1" ht="24" customHeight="1">
      <c r="A8" s="190" t="s">
        <v>238</v>
      </c>
      <c r="B8" s="187" t="s">
        <v>237</v>
      </c>
      <c r="C8" s="191" t="s">
        <v>228</v>
      </c>
      <c r="D8" s="209"/>
      <c r="E8" s="192"/>
      <c r="F8" s="209"/>
      <c r="G8" s="211"/>
      <c r="M8"/>
    </row>
    <row r="9" spans="1:13" s="183" customFormat="1" ht="133.5" customHeight="1">
      <c r="A9" s="188">
        <v>2</v>
      </c>
      <c r="B9" s="189" t="s">
        <v>247</v>
      </c>
      <c r="C9" s="185" t="s">
        <v>229</v>
      </c>
      <c r="D9" s="208"/>
      <c r="E9" s="186" t="s">
        <v>261</v>
      </c>
      <c r="F9" s="208"/>
      <c r="G9" s="210"/>
    </row>
    <row r="10" spans="1:13" s="183" customFormat="1" ht="24" customHeight="1">
      <c r="A10" s="190" t="s">
        <v>238</v>
      </c>
      <c r="B10" s="187" t="s">
        <v>237</v>
      </c>
      <c r="C10" s="191" t="s">
        <v>228</v>
      </c>
      <c r="D10" s="209"/>
      <c r="E10" s="192"/>
      <c r="F10" s="209"/>
      <c r="G10" s="211"/>
      <c r="M10"/>
    </row>
    <row r="11" spans="1:13" s="183" customFormat="1" ht="133.5" customHeight="1">
      <c r="A11" s="188">
        <v>3</v>
      </c>
      <c r="B11" s="189" t="s">
        <v>246</v>
      </c>
      <c r="C11" s="185" t="s">
        <v>230</v>
      </c>
      <c r="D11" s="208"/>
      <c r="E11" s="186" t="s">
        <v>262</v>
      </c>
      <c r="F11" s="208"/>
      <c r="G11" s="210"/>
    </row>
    <row r="12" spans="1:13" s="183" customFormat="1" ht="24" customHeight="1">
      <c r="A12" s="190" t="s">
        <v>238</v>
      </c>
      <c r="B12" s="187" t="s">
        <v>237</v>
      </c>
      <c r="C12" s="191" t="s">
        <v>228</v>
      </c>
      <c r="D12" s="209"/>
      <c r="E12" s="192"/>
      <c r="F12" s="209"/>
      <c r="G12" s="211"/>
      <c r="M12"/>
    </row>
    <row r="13" spans="1:13" s="183" customFormat="1" ht="133.5" customHeight="1">
      <c r="A13" s="188">
        <v>4</v>
      </c>
      <c r="B13" s="189" t="s">
        <v>246</v>
      </c>
      <c r="C13" s="185" t="s">
        <v>231</v>
      </c>
      <c r="D13" s="208"/>
      <c r="E13" s="186" t="s">
        <v>263</v>
      </c>
      <c r="F13" s="208"/>
      <c r="G13" s="210"/>
    </row>
    <row r="14" spans="1:13" s="183" customFormat="1" ht="24" customHeight="1">
      <c r="A14" s="190" t="s">
        <v>238</v>
      </c>
      <c r="B14" s="187" t="s">
        <v>237</v>
      </c>
      <c r="C14" s="191" t="s">
        <v>228</v>
      </c>
      <c r="D14" s="209"/>
      <c r="E14" s="192"/>
      <c r="F14" s="209"/>
      <c r="G14" s="211"/>
      <c r="M14"/>
    </row>
    <row r="15" spans="1:13" s="183" customFormat="1" ht="133.5" customHeight="1">
      <c r="A15" s="188">
        <v>5</v>
      </c>
      <c r="B15" s="189" t="s">
        <v>249</v>
      </c>
      <c r="C15" s="185" t="s">
        <v>248</v>
      </c>
      <c r="D15" s="208"/>
      <c r="E15" s="186" t="s">
        <v>264</v>
      </c>
      <c r="F15" s="208"/>
      <c r="G15" s="210"/>
    </row>
    <row r="16" spans="1:13" s="183" customFormat="1" ht="24" customHeight="1">
      <c r="A16" s="190" t="s">
        <v>238</v>
      </c>
      <c r="B16" s="187" t="s">
        <v>237</v>
      </c>
      <c r="C16" s="191" t="s">
        <v>232</v>
      </c>
      <c r="D16" s="209"/>
      <c r="E16" s="192"/>
      <c r="F16" s="209"/>
      <c r="G16" s="211"/>
      <c r="M16"/>
    </row>
    <row r="17" spans="1:13" s="183" customFormat="1" ht="133.5" customHeight="1">
      <c r="A17" s="188">
        <v>6</v>
      </c>
      <c r="B17" s="189"/>
      <c r="C17" s="185" t="s">
        <v>233</v>
      </c>
      <c r="D17" s="208"/>
      <c r="E17" s="186" t="s">
        <v>265</v>
      </c>
      <c r="F17" s="208"/>
      <c r="G17" s="210"/>
    </row>
    <row r="18" spans="1:13" s="183" customFormat="1" ht="24" customHeight="1">
      <c r="A18" s="190" t="s">
        <v>238</v>
      </c>
      <c r="B18" s="187" t="s">
        <v>237</v>
      </c>
      <c r="C18" s="191" t="s">
        <v>234</v>
      </c>
      <c r="D18" s="209"/>
      <c r="E18" s="192"/>
      <c r="F18" s="209"/>
      <c r="G18" s="211"/>
      <c r="M18"/>
    </row>
    <row r="19" spans="1:13" s="183" customFormat="1" ht="133.5" customHeight="1">
      <c r="A19" s="188">
        <v>7</v>
      </c>
      <c r="B19" s="189"/>
      <c r="C19" s="185" t="s">
        <v>253</v>
      </c>
      <c r="D19" s="208"/>
      <c r="E19" s="186" t="s">
        <v>266</v>
      </c>
      <c r="F19" s="208"/>
      <c r="G19" s="210"/>
    </row>
    <row r="20" spans="1:13" s="183" customFormat="1" ht="24" customHeight="1">
      <c r="A20" s="190" t="s">
        <v>238</v>
      </c>
      <c r="B20" s="187" t="s">
        <v>237</v>
      </c>
      <c r="C20" s="191" t="s">
        <v>235</v>
      </c>
      <c r="D20" s="209"/>
      <c r="E20" s="192"/>
      <c r="F20" s="209"/>
      <c r="G20" s="211"/>
      <c r="M20"/>
    </row>
    <row r="21" spans="1:13" s="183" customFormat="1" ht="133.5" customHeight="1">
      <c r="A21" s="188">
        <v>8</v>
      </c>
      <c r="B21" s="189" t="s">
        <v>252</v>
      </c>
      <c r="C21" s="185" t="s">
        <v>236</v>
      </c>
      <c r="D21" s="208"/>
      <c r="E21" s="186" t="s">
        <v>267</v>
      </c>
      <c r="F21" s="208"/>
      <c r="G21" s="210"/>
    </row>
    <row r="22" spans="1:13" s="183" customFormat="1" ht="24" customHeight="1">
      <c r="A22" s="190" t="s">
        <v>238</v>
      </c>
      <c r="B22" s="187" t="s">
        <v>237</v>
      </c>
      <c r="C22" s="191" t="s">
        <v>228</v>
      </c>
      <c r="D22" s="209"/>
      <c r="E22" s="192"/>
      <c r="F22" s="209"/>
      <c r="G22" s="211"/>
      <c r="M22"/>
    </row>
    <row r="23" spans="1:13" s="183" customFormat="1" ht="133.5" customHeight="1">
      <c r="A23" s="188">
        <v>9</v>
      </c>
      <c r="B23" s="189" t="s">
        <v>239</v>
      </c>
      <c r="C23" s="185" t="s">
        <v>240</v>
      </c>
      <c r="D23" s="208"/>
      <c r="E23" s="186" t="s">
        <v>268</v>
      </c>
      <c r="F23" s="208"/>
      <c r="G23" s="210" t="s">
        <v>269</v>
      </c>
    </row>
    <row r="24" spans="1:13" s="183" customFormat="1" ht="24" customHeight="1">
      <c r="A24" s="190" t="s">
        <v>238</v>
      </c>
      <c r="B24" s="187" t="s">
        <v>242</v>
      </c>
      <c r="C24" s="191" t="s">
        <v>241</v>
      </c>
      <c r="D24" s="209"/>
      <c r="E24" s="192"/>
      <c r="F24" s="209"/>
      <c r="G24" s="211"/>
      <c r="M24"/>
    </row>
    <row r="25" spans="1:13" s="183" customFormat="1" ht="133.5" customHeight="1">
      <c r="A25" s="188">
        <v>10</v>
      </c>
      <c r="B25" s="189" t="s">
        <v>249</v>
      </c>
      <c r="C25" s="185" t="s">
        <v>250</v>
      </c>
      <c r="D25" s="208"/>
      <c r="E25" s="186" t="s">
        <v>270</v>
      </c>
      <c r="F25" s="208"/>
      <c r="G25" s="210"/>
    </row>
    <row r="26" spans="1:13" s="183" customFormat="1" ht="24" customHeight="1">
      <c r="A26" s="190" t="s">
        <v>238</v>
      </c>
      <c r="B26" s="187" t="s">
        <v>242</v>
      </c>
      <c r="C26" s="191" t="s">
        <v>251</v>
      </c>
      <c r="D26" s="209"/>
      <c r="E26" s="192"/>
      <c r="F26" s="209"/>
      <c r="G26" s="211"/>
      <c r="M26"/>
    </row>
    <row r="27" spans="1:13" s="183" customFormat="1" ht="133.5" customHeight="1">
      <c r="A27" s="188">
        <v>11</v>
      </c>
      <c r="B27" s="189" t="s">
        <v>254</v>
      </c>
      <c r="C27" s="185" t="s">
        <v>255</v>
      </c>
      <c r="D27" s="208"/>
      <c r="E27" s="186" t="s">
        <v>271</v>
      </c>
      <c r="F27" s="208"/>
      <c r="G27" s="210"/>
    </row>
    <row r="28" spans="1:13" s="183" customFormat="1" ht="24" customHeight="1">
      <c r="A28" s="190" t="s">
        <v>238</v>
      </c>
      <c r="B28" s="187" t="s">
        <v>242</v>
      </c>
      <c r="C28" s="191" t="s">
        <v>251</v>
      </c>
      <c r="D28" s="209"/>
      <c r="E28" s="192"/>
      <c r="F28" s="209"/>
      <c r="G28" s="211"/>
      <c r="M28"/>
    </row>
    <row r="29" spans="1:13" s="183" customFormat="1" ht="133.5" customHeight="1">
      <c r="A29" s="188">
        <v>12</v>
      </c>
      <c r="B29" s="189" t="s">
        <v>259</v>
      </c>
      <c r="C29" s="185" t="s">
        <v>258</v>
      </c>
      <c r="D29" s="208"/>
      <c r="E29" s="186" t="s">
        <v>272</v>
      </c>
      <c r="F29" s="208"/>
      <c r="G29" s="210"/>
    </row>
    <row r="30" spans="1:13" s="183" customFormat="1" ht="24" customHeight="1">
      <c r="A30" s="190" t="s">
        <v>238</v>
      </c>
      <c r="B30" s="187" t="s">
        <v>242</v>
      </c>
      <c r="C30" s="191" t="s">
        <v>251</v>
      </c>
      <c r="D30" s="209"/>
      <c r="E30" s="192"/>
      <c r="F30" s="209"/>
      <c r="G30" s="211"/>
      <c r="M30"/>
    </row>
    <row r="31" spans="1:13" s="183" customFormat="1" ht="133.5" customHeight="1">
      <c r="A31" s="188"/>
      <c r="B31" s="189"/>
      <c r="C31" s="185"/>
      <c r="D31" s="208"/>
      <c r="E31" s="186"/>
      <c r="F31" s="208"/>
      <c r="G31" s="210"/>
    </row>
    <row r="32" spans="1:13" s="183" customFormat="1" ht="24" customHeight="1">
      <c r="A32" s="190"/>
      <c r="B32" s="187"/>
      <c r="C32" s="191"/>
      <c r="D32" s="209"/>
      <c r="E32" s="192"/>
      <c r="F32" s="209"/>
      <c r="G32" s="211"/>
      <c r="M32"/>
    </row>
    <row r="33" spans="1:13" s="183" customFormat="1" ht="133.5" customHeight="1">
      <c r="A33" s="188"/>
      <c r="B33" s="189"/>
      <c r="C33" s="185"/>
      <c r="D33" s="208"/>
      <c r="E33" s="186"/>
      <c r="F33" s="208"/>
      <c r="G33" s="210"/>
    </row>
    <row r="34" spans="1:13" s="183" customFormat="1" ht="24" customHeight="1">
      <c r="A34" s="190"/>
      <c r="B34" s="187"/>
      <c r="C34" s="191"/>
      <c r="D34" s="209"/>
      <c r="E34" s="192"/>
      <c r="F34" s="209"/>
      <c r="G34" s="211"/>
      <c r="M34"/>
    </row>
    <row r="35" spans="1:13" s="183" customFormat="1" ht="133.5" customHeight="1">
      <c r="A35" s="188"/>
      <c r="B35" s="189"/>
      <c r="C35" s="185"/>
      <c r="D35" s="208"/>
      <c r="E35" s="186"/>
      <c r="F35" s="208"/>
      <c r="G35" s="210"/>
    </row>
    <row r="36" spans="1:13" s="183" customFormat="1" ht="24" customHeight="1">
      <c r="A36" s="190"/>
      <c r="B36" s="187"/>
      <c r="C36" s="191"/>
      <c r="D36" s="209"/>
      <c r="E36" s="192"/>
      <c r="F36" s="209"/>
      <c r="G36" s="211"/>
      <c r="M36"/>
    </row>
    <row r="37" spans="1:13" s="183" customFormat="1" ht="133.5" customHeight="1">
      <c r="A37" s="188"/>
      <c r="B37" s="189"/>
      <c r="C37" s="185"/>
      <c r="D37" s="208"/>
      <c r="E37" s="186"/>
      <c r="F37" s="208"/>
      <c r="G37" s="210"/>
    </row>
    <row r="38" spans="1:13" s="183" customFormat="1" ht="24" customHeight="1">
      <c r="A38" s="190"/>
      <c r="B38" s="187"/>
      <c r="C38" s="191"/>
      <c r="D38" s="209"/>
      <c r="E38" s="192"/>
      <c r="F38" s="209"/>
      <c r="G38" s="211"/>
      <c r="M38"/>
    </row>
    <row r="39" spans="1:13" s="183" customFormat="1" ht="133.5" customHeight="1">
      <c r="A39" s="188"/>
      <c r="B39" s="189"/>
      <c r="C39" s="185"/>
      <c r="D39" s="208"/>
      <c r="E39" s="186"/>
      <c r="F39" s="208"/>
      <c r="G39" s="210"/>
    </row>
    <row r="40" spans="1:13" s="183" customFormat="1" ht="24" customHeight="1">
      <c r="A40" s="190"/>
      <c r="B40" s="187"/>
      <c r="C40" s="191"/>
      <c r="D40" s="209"/>
      <c r="E40" s="192"/>
      <c r="F40" s="209"/>
      <c r="G40" s="211"/>
      <c r="M40"/>
    </row>
    <row r="41" spans="1:13" s="183" customFormat="1" ht="133.5" customHeight="1">
      <c r="A41" s="188"/>
      <c r="B41" s="189"/>
      <c r="C41" s="185"/>
      <c r="D41" s="208"/>
      <c r="E41" s="186"/>
      <c r="F41" s="208"/>
      <c r="G41" s="210"/>
    </row>
    <row r="42" spans="1:13" s="183" customFormat="1" ht="133.5" customHeight="1">
      <c r="A42" s="190"/>
      <c r="B42" s="187"/>
      <c r="C42" s="191"/>
      <c r="D42" s="209"/>
      <c r="E42" s="192"/>
      <c r="F42" s="209"/>
      <c r="G42" s="211"/>
    </row>
    <row r="43" spans="1:13" s="183" customFormat="1" ht="133.5" customHeight="1">
      <c r="A43" s="188"/>
      <c r="B43" s="189"/>
      <c r="C43" s="185"/>
      <c r="D43" s="208"/>
      <c r="E43" s="186"/>
      <c r="F43" s="208"/>
      <c r="G43" s="210"/>
    </row>
    <row r="44" spans="1:13" s="183" customFormat="1" ht="133.5" customHeight="1">
      <c r="A44" s="190"/>
      <c r="B44" s="187"/>
      <c r="C44" s="191"/>
      <c r="D44" s="209"/>
      <c r="E44" s="192"/>
      <c r="F44" s="209"/>
      <c r="G44" s="211"/>
    </row>
    <row r="45" spans="1:13" ht="15.75">
      <c r="A45" s="188"/>
      <c r="B45" s="189"/>
      <c r="C45" s="185"/>
      <c r="D45" s="208"/>
      <c r="E45" s="186"/>
      <c r="F45" s="208"/>
      <c r="G45" s="210"/>
    </row>
    <row r="46" spans="1:13" ht="15.75">
      <c r="A46" s="190"/>
      <c r="B46" s="187"/>
      <c r="C46" s="191"/>
      <c r="D46" s="209"/>
      <c r="E46" s="192"/>
      <c r="F46" s="209"/>
      <c r="G46" s="211"/>
    </row>
    <row r="47" spans="1:13" ht="15.75">
      <c r="A47" s="188"/>
      <c r="B47" s="189"/>
      <c r="C47" s="185"/>
      <c r="D47" s="208"/>
      <c r="E47" s="186"/>
      <c r="F47" s="208"/>
      <c r="G47" s="210"/>
    </row>
    <row r="48" spans="1:13" ht="15.75">
      <c r="A48" s="190"/>
      <c r="B48" s="187"/>
      <c r="C48" s="191"/>
      <c r="D48" s="209"/>
      <c r="E48" s="192"/>
      <c r="F48" s="209"/>
      <c r="G48" s="211"/>
    </row>
    <row r="49" spans="1:7" ht="15.75">
      <c r="A49" s="188"/>
      <c r="B49" s="189"/>
      <c r="C49" s="185"/>
      <c r="D49" s="208"/>
      <c r="E49" s="186"/>
      <c r="F49" s="208"/>
      <c r="G49" s="210"/>
    </row>
    <row r="50" spans="1:7" ht="15.75">
      <c r="A50" s="190"/>
      <c r="B50" s="187"/>
      <c r="C50" s="191"/>
      <c r="D50" s="209"/>
      <c r="E50" s="192"/>
      <c r="F50" s="209"/>
      <c r="G50" s="211"/>
    </row>
    <row r="51" spans="1:7" ht="15.75">
      <c r="A51" s="188"/>
      <c r="B51" s="189"/>
      <c r="C51" s="185"/>
      <c r="D51" s="208"/>
      <c r="E51" s="186"/>
      <c r="F51" s="208"/>
      <c r="G51" s="210"/>
    </row>
    <row r="52" spans="1:7" ht="15.75">
      <c r="A52" s="190"/>
      <c r="B52" s="187"/>
      <c r="C52" s="191"/>
      <c r="D52" s="209"/>
      <c r="E52" s="192"/>
      <c r="F52" s="209"/>
      <c r="G52" s="211"/>
    </row>
    <row r="53" spans="1:7" ht="15.75">
      <c r="A53" s="188"/>
      <c r="B53" s="189"/>
      <c r="C53" s="185"/>
      <c r="D53" s="208"/>
      <c r="E53" s="186"/>
      <c r="F53" s="208"/>
      <c r="G53" s="210"/>
    </row>
    <row r="54" spans="1:7" ht="15.75">
      <c r="A54" s="190"/>
      <c r="B54" s="187"/>
      <c r="C54" s="191"/>
      <c r="D54" s="209"/>
      <c r="E54" s="192"/>
      <c r="F54" s="209"/>
      <c r="G54" s="211"/>
    </row>
    <row r="55" spans="1:7" ht="15.75">
      <c r="A55" s="188"/>
      <c r="B55" s="189"/>
      <c r="C55" s="185"/>
      <c r="D55" s="208"/>
      <c r="E55" s="186"/>
      <c r="F55" s="208"/>
      <c r="G55" s="210"/>
    </row>
    <row r="56" spans="1:7" ht="15.75">
      <c r="A56" s="190"/>
      <c r="B56" s="187"/>
      <c r="C56" s="191"/>
      <c r="D56" s="209"/>
      <c r="E56" s="192"/>
      <c r="F56" s="209"/>
      <c r="G56" s="211"/>
    </row>
    <row r="57" spans="1:7" ht="15.75">
      <c r="A57" s="188"/>
      <c r="B57" s="189"/>
      <c r="C57" s="185"/>
      <c r="D57" s="208"/>
      <c r="E57" s="186"/>
      <c r="F57" s="208"/>
      <c r="G57" s="210"/>
    </row>
    <row r="58" spans="1:7" ht="15.75">
      <c r="A58" s="190"/>
      <c r="B58" s="187"/>
      <c r="C58" s="191"/>
      <c r="D58" s="209"/>
      <c r="E58" s="192"/>
      <c r="F58" s="209"/>
      <c r="G58" s="211"/>
    </row>
    <row r="59" spans="1:7" ht="15.75">
      <c r="A59" s="188"/>
      <c r="B59" s="189"/>
      <c r="C59" s="185"/>
      <c r="D59" s="208"/>
      <c r="E59" s="186"/>
      <c r="F59" s="208"/>
      <c r="G59" s="210"/>
    </row>
    <row r="60" spans="1:7" ht="15.75">
      <c r="A60" s="190"/>
      <c r="B60" s="187"/>
      <c r="C60" s="191"/>
      <c r="D60" s="209"/>
      <c r="E60" s="192"/>
      <c r="F60" s="209"/>
      <c r="G60" s="211"/>
    </row>
    <row r="61" spans="1:7" ht="15.75">
      <c r="A61" s="188"/>
      <c r="B61" s="189"/>
      <c r="C61" s="185"/>
      <c r="D61" s="208"/>
      <c r="E61" s="186"/>
      <c r="F61" s="208"/>
      <c r="G61" s="210"/>
    </row>
    <row r="62" spans="1:7" ht="15.75">
      <c r="A62" s="190"/>
      <c r="B62" s="187"/>
      <c r="C62" s="191"/>
      <c r="D62" s="209"/>
      <c r="E62" s="192"/>
      <c r="F62" s="209"/>
      <c r="G62" s="211"/>
    </row>
    <row r="63" spans="1:7" ht="15.75">
      <c r="A63" s="188"/>
      <c r="B63" s="189"/>
      <c r="C63" s="185"/>
      <c r="D63" s="208"/>
      <c r="E63" s="186"/>
      <c r="F63" s="208"/>
      <c r="G63" s="210"/>
    </row>
    <row r="64" spans="1:7" ht="15.75">
      <c r="A64" s="190"/>
      <c r="B64" s="187"/>
      <c r="C64" s="191"/>
      <c r="D64" s="209"/>
      <c r="E64" s="192"/>
      <c r="F64" s="209"/>
      <c r="G64" s="211"/>
    </row>
    <row r="65" spans="1:7" ht="15.75">
      <c r="A65" s="188"/>
      <c r="B65" s="189"/>
      <c r="C65" s="185"/>
      <c r="D65" s="208"/>
      <c r="E65" s="186"/>
      <c r="F65" s="208"/>
      <c r="G65" s="210"/>
    </row>
    <row r="66" spans="1:7" ht="15.75">
      <c r="A66" s="190"/>
      <c r="B66" s="187"/>
      <c r="C66" s="191"/>
      <c r="D66" s="209"/>
      <c r="E66" s="192"/>
      <c r="F66" s="209"/>
      <c r="G66" s="211"/>
    </row>
    <row r="67" spans="1:7" ht="15.75">
      <c r="A67" s="188"/>
      <c r="B67" s="189"/>
      <c r="C67" s="185"/>
      <c r="D67" s="208"/>
      <c r="E67" s="186"/>
      <c r="F67" s="208"/>
      <c r="G67" s="210"/>
    </row>
    <row r="68" spans="1:7" ht="15.75">
      <c r="A68" s="190"/>
      <c r="B68" s="187"/>
      <c r="C68" s="191"/>
      <c r="D68" s="209"/>
      <c r="E68" s="192"/>
      <c r="F68" s="209"/>
      <c r="G68" s="211"/>
    </row>
    <row r="69" spans="1:7" ht="15.75">
      <c r="A69" s="188"/>
      <c r="B69" s="189"/>
      <c r="C69" s="185"/>
      <c r="D69" s="208"/>
      <c r="E69" s="186"/>
      <c r="F69" s="208"/>
      <c r="G69" s="210"/>
    </row>
    <row r="70" spans="1:7" ht="15.75">
      <c r="A70" s="190"/>
      <c r="B70" s="187"/>
      <c r="C70" s="191"/>
      <c r="D70" s="209"/>
      <c r="E70" s="192"/>
      <c r="F70" s="209"/>
      <c r="G70" s="211"/>
    </row>
  </sheetData>
  <mergeCells count="104">
    <mergeCell ref="C2:G2"/>
    <mergeCell ref="C1:G1"/>
    <mergeCell ref="A1:B4"/>
    <mergeCell ref="C5:D5"/>
    <mergeCell ref="E5:F5"/>
    <mergeCell ref="D9:D10"/>
    <mergeCell ref="F9:F10"/>
    <mergeCell ref="G9:G10"/>
    <mergeCell ref="D7:D8"/>
    <mergeCell ref="F7:F8"/>
    <mergeCell ref="G7:G8"/>
    <mergeCell ref="G5:G6"/>
    <mergeCell ref="C4:G4"/>
    <mergeCell ref="C3:G3"/>
    <mergeCell ref="D15:D16"/>
    <mergeCell ref="F15:F16"/>
    <mergeCell ref="G15:G16"/>
    <mergeCell ref="D13:D14"/>
    <mergeCell ref="F13:F14"/>
    <mergeCell ref="G13:G14"/>
    <mergeCell ref="D11:D12"/>
    <mergeCell ref="F11:F12"/>
    <mergeCell ref="G11:G12"/>
    <mergeCell ref="D21:D22"/>
    <mergeCell ref="F21:F22"/>
    <mergeCell ref="G21:G22"/>
    <mergeCell ref="D19:D20"/>
    <mergeCell ref="F19:F20"/>
    <mergeCell ref="G19:G20"/>
    <mergeCell ref="D17:D18"/>
    <mergeCell ref="F17:F18"/>
    <mergeCell ref="G17:G18"/>
    <mergeCell ref="D27:D28"/>
    <mergeCell ref="F27:F28"/>
    <mergeCell ref="G27:G28"/>
    <mergeCell ref="D25:D26"/>
    <mergeCell ref="F25:F26"/>
    <mergeCell ref="G25:G26"/>
    <mergeCell ref="D23:D24"/>
    <mergeCell ref="F23:F24"/>
    <mergeCell ref="G23:G24"/>
    <mergeCell ref="D33:D34"/>
    <mergeCell ref="F33:F34"/>
    <mergeCell ref="G33:G34"/>
    <mergeCell ref="D31:D32"/>
    <mergeCell ref="F31:F32"/>
    <mergeCell ref="G31:G32"/>
    <mergeCell ref="D29:D30"/>
    <mergeCell ref="F29:F30"/>
    <mergeCell ref="G29:G30"/>
    <mergeCell ref="D39:D40"/>
    <mergeCell ref="F39:F40"/>
    <mergeCell ref="G39:G40"/>
    <mergeCell ref="D37:D38"/>
    <mergeCell ref="F37:F38"/>
    <mergeCell ref="G37:G38"/>
    <mergeCell ref="D35:D36"/>
    <mergeCell ref="F35:F36"/>
    <mergeCell ref="G35:G36"/>
    <mergeCell ref="D45:D46"/>
    <mergeCell ref="F45:F46"/>
    <mergeCell ref="G45:G46"/>
    <mergeCell ref="D47:D48"/>
    <mergeCell ref="F47:F48"/>
    <mergeCell ref="G47:G48"/>
    <mergeCell ref="D41:D42"/>
    <mergeCell ref="F41:F42"/>
    <mergeCell ref="G41:G42"/>
    <mergeCell ref="D43:D44"/>
    <mergeCell ref="F43:F44"/>
    <mergeCell ref="G43:G44"/>
    <mergeCell ref="D53:D54"/>
    <mergeCell ref="F53:F54"/>
    <mergeCell ref="G53:G54"/>
    <mergeCell ref="D55:D56"/>
    <mergeCell ref="F55:F56"/>
    <mergeCell ref="G55:G56"/>
    <mergeCell ref="D49:D50"/>
    <mergeCell ref="F49:F50"/>
    <mergeCell ref="G49:G50"/>
    <mergeCell ref="D51:D52"/>
    <mergeCell ref="F51:F52"/>
    <mergeCell ref="G51:G52"/>
    <mergeCell ref="D61:D62"/>
    <mergeCell ref="F61:F62"/>
    <mergeCell ref="G61:G62"/>
    <mergeCell ref="D63:D64"/>
    <mergeCell ref="F63:F64"/>
    <mergeCell ref="G63:G64"/>
    <mergeCell ref="D57:D58"/>
    <mergeCell ref="F57:F58"/>
    <mergeCell ref="G57:G58"/>
    <mergeCell ref="D59:D60"/>
    <mergeCell ref="F59:F60"/>
    <mergeCell ref="G59:G60"/>
    <mergeCell ref="D69:D70"/>
    <mergeCell ref="F69:F70"/>
    <mergeCell ref="G69:G70"/>
    <mergeCell ref="D65:D66"/>
    <mergeCell ref="F65:F66"/>
    <mergeCell ref="G65:G66"/>
    <mergeCell ref="D67:D68"/>
    <mergeCell ref="F67:F68"/>
    <mergeCell ref="G67:G68"/>
  </mergeCells>
  <pageMargins left="0.7" right="0.7" top="0.75" bottom="0.75" header="0.3" footer="0.3"/>
  <pageSetup paperSize="8" scale="63" fitToHeight="0"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D18"/>
  <sheetViews>
    <sheetView zoomScaleNormal="100" workbookViewId="0">
      <selection activeCell="F9" sqref="F9"/>
    </sheetView>
  </sheetViews>
  <sheetFormatPr defaultColWidth="9.140625" defaultRowHeight="15"/>
  <cols>
    <col min="1" max="1" width="6.7109375" customWidth="1"/>
    <col min="2" max="2" width="32.42578125" customWidth="1"/>
    <col min="3" max="3" width="36.7109375" customWidth="1"/>
    <col min="4" max="4" width="38.7109375" customWidth="1"/>
    <col min="5" max="5" width="10.7109375" bestFit="1" customWidth="1"/>
    <col min="6" max="6" width="19.85546875" customWidth="1"/>
  </cols>
  <sheetData>
    <row r="1" spans="1:4" s="5" customFormat="1" ht="25.15" customHeight="1">
      <c r="A1" s="196"/>
      <c r="B1" s="197"/>
      <c r="C1" s="32" t="s">
        <v>10</v>
      </c>
      <c r="D1" s="151"/>
    </row>
    <row r="2" spans="1:4" s="5" customFormat="1" ht="25.15" customHeight="1">
      <c r="A2" s="198"/>
      <c r="B2" s="199"/>
      <c r="C2" s="35" t="s">
        <v>196</v>
      </c>
      <c r="D2" s="152"/>
    </row>
    <row r="3" spans="1:4" s="5" customFormat="1" ht="25.15" customHeight="1">
      <c r="A3" s="198"/>
      <c r="B3" s="199"/>
      <c r="C3" s="79" t="s">
        <v>220</v>
      </c>
      <c r="D3" s="179">
        <f ca="1">TODAY()</f>
        <v>46168</v>
      </c>
    </row>
    <row r="4" spans="1:4" s="5" customFormat="1" ht="30" customHeight="1">
      <c r="A4" s="200"/>
      <c r="B4" s="201"/>
      <c r="C4" s="202" t="s">
        <v>197</v>
      </c>
      <c r="D4" s="204"/>
    </row>
    <row r="5" spans="1:4" s="6" customFormat="1" ht="28.15" customHeight="1">
      <c r="A5" s="22" t="s">
        <v>0</v>
      </c>
      <c r="B5" s="22" t="s">
        <v>198</v>
      </c>
      <c r="C5" s="23" t="s">
        <v>199</v>
      </c>
      <c r="D5" s="22" t="s">
        <v>200</v>
      </c>
    </row>
    <row r="6" spans="1:4" s="1" customFormat="1" ht="15.75">
      <c r="A6" s="160">
        <v>1</v>
      </c>
      <c r="B6" s="159" t="s">
        <v>207</v>
      </c>
      <c r="C6" s="157" t="s">
        <v>202</v>
      </c>
      <c r="D6" s="154"/>
    </row>
    <row r="7" spans="1:4" s="1" customFormat="1" ht="15.75">
      <c r="A7" s="161">
        <v>2</v>
      </c>
      <c r="B7" s="159" t="s">
        <v>206</v>
      </c>
      <c r="C7" s="153"/>
      <c r="D7" s="155"/>
    </row>
    <row r="8" spans="1:4" s="1" customFormat="1">
      <c r="A8" s="163"/>
      <c r="B8" s="164" t="s">
        <v>201</v>
      </c>
      <c r="C8" s="157" t="s">
        <v>202</v>
      </c>
      <c r="D8" s="172"/>
    </row>
    <row r="9" spans="1:4" s="1" customFormat="1">
      <c r="A9" s="169"/>
      <c r="B9" s="170" t="s">
        <v>213</v>
      </c>
      <c r="C9" s="171" t="s">
        <v>203</v>
      </c>
      <c r="D9" s="178" t="s">
        <v>211</v>
      </c>
    </row>
    <row r="10" spans="1:4" s="1" customFormat="1">
      <c r="A10" s="165"/>
      <c r="B10" s="173"/>
      <c r="C10" s="174"/>
      <c r="D10" s="175"/>
    </row>
    <row r="11" spans="1:4" s="1" customFormat="1" ht="15.75">
      <c r="A11" s="161">
        <v>3</v>
      </c>
      <c r="B11" s="159" t="s">
        <v>208</v>
      </c>
      <c r="C11" s="153"/>
      <c r="D11" s="155"/>
    </row>
    <row r="12" spans="1:4" s="1" customFormat="1" ht="15.75">
      <c r="A12" s="163"/>
      <c r="B12" s="164" t="s">
        <v>204</v>
      </c>
      <c r="C12" s="157" t="s">
        <v>202</v>
      </c>
      <c r="D12" s="162"/>
    </row>
    <row r="13" spans="1:4" s="1" customFormat="1" ht="28.5">
      <c r="A13" s="169"/>
      <c r="B13" s="170" t="s">
        <v>205</v>
      </c>
      <c r="C13" s="171" t="s">
        <v>203</v>
      </c>
      <c r="D13" s="178" t="s">
        <v>217</v>
      </c>
    </row>
    <row r="14" spans="1:4" s="1" customFormat="1" ht="15.75">
      <c r="A14" s="165"/>
      <c r="B14" s="166"/>
      <c r="C14" s="167"/>
      <c r="D14" s="168"/>
    </row>
    <row r="15" spans="1:4" s="1" customFormat="1" ht="85.5">
      <c r="A15" s="161">
        <v>4</v>
      </c>
      <c r="B15" s="159" t="s">
        <v>209</v>
      </c>
      <c r="C15" s="158" t="s">
        <v>203</v>
      </c>
      <c r="D15" s="156" t="s">
        <v>214</v>
      </c>
    </row>
    <row r="16" spans="1:4" s="1" customFormat="1" ht="30">
      <c r="A16" s="161">
        <v>5</v>
      </c>
      <c r="B16" s="159" t="s">
        <v>210</v>
      </c>
      <c r="C16" s="158" t="s">
        <v>203</v>
      </c>
      <c r="D16" s="156" t="s">
        <v>212</v>
      </c>
    </row>
    <row r="17" spans="1:4" s="1" customFormat="1" ht="42.75">
      <c r="A17" s="161">
        <v>6</v>
      </c>
      <c r="B17" s="159" t="s">
        <v>215</v>
      </c>
      <c r="C17" s="157" t="s">
        <v>202</v>
      </c>
      <c r="D17" s="156" t="s">
        <v>219</v>
      </c>
    </row>
    <row r="18" spans="1:4" s="1" customFormat="1" ht="28.5">
      <c r="A18" s="161">
        <v>7</v>
      </c>
      <c r="B18" s="159" t="s">
        <v>216</v>
      </c>
      <c r="C18" s="177" t="s">
        <v>203</v>
      </c>
      <c r="D18" s="176" t="s">
        <v>218</v>
      </c>
    </row>
  </sheetData>
  <mergeCells count="2">
    <mergeCell ref="A1:B4"/>
    <mergeCell ref="C4:D4"/>
  </mergeCells>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5"/>
  <sheetViews>
    <sheetView workbookViewId="0">
      <selection activeCell="D16" sqref="D16"/>
    </sheetView>
  </sheetViews>
  <sheetFormatPr defaultRowHeight="15"/>
  <cols>
    <col min="2" max="2" width="21" customWidth="1"/>
    <col min="3" max="3" width="32.140625" customWidth="1"/>
    <col min="4" max="4" width="50.5703125" customWidth="1"/>
    <col min="5" max="5" width="39.7109375" customWidth="1"/>
    <col min="6" max="6" width="41.42578125" customWidth="1"/>
  </cols>
  <sheetData>
    <row r="1" spans="1:6">
      <c r="C1" s="140" t="s">
        <v>173</v>
      </c>
      <c r="D1" s="140" t="s">
        <v>174</v>
      </c>
      <c r="E1" s="140" t="s">
        <v>172</v>
      </c>
      <c r="F1" s="140"/>
    </row>
    <row r="2" spans="1:6">
      <c r="A2">
        <v>1</v>
      </c>
      <c r="B2" t="s">
        <v>161</v>
      </c>
      <c r="C2" t="s">
        <v>175</v>
      </c>
    </row>
    <row r="3" spans="1:6">
      <c r="A3">
        <v>2</v>
      </c>
      <c r="B3" t="s">
        <v>162</v>
      </c>
      <c r="C3" t="s">
        <v>163</v>
      </c>
    </row>
    <row r="4" spans="1:6">
      <c r="A4">
        <v>3</v>
      </c>
      <c r="B4" t="s">
        <v>164</v>
      </c>
      <c r="C4" t="s">
        <v>171</v>
      </c>
    </row>
    <row r="5" spans="1:6">
      <c r="A5">
        <v>4</v>
      </c>
      <c r="B5" t="s">
        <v>165</v>
      </c>
      <c r="C5" t="s">
        <v>168</v>
      </c>
      <c r="D5" s="139"/>
    </row>
    <row r="6" spans="1:6">
      <c r="A6">
        <v>5</v>
      </c>
      <c r="B6" t="s">
        <v>166</v>
      </c>
      <c r="C6" t="s">
        <v>168</v>
      </c>
      <c r="D6" s="139"/>
    </row>
    <row r="7" spans="1:6">
      <c r="A7">
        <v>6</v>
      </c>
      <c r="B7" t="s">
        <v>167</v>
      </c>
      <c r="C7" t="s">
        <v>169</v>
      </c>
      <c r="D7" s="139"/>
    </row>
    <row r="8" spans="1:6">
      <c r="A8">
        <v>7</v>
      </c>
      <c r="B8" t="s">
        <v>170</v>
      </c>
      <c r="C8" t="s">
        <v>171</v>
      </c>
    </row>
    <row r="9" spans="1:6">
      <c r="A9">
        <v>8</v>
      </c>
    </row>
    <row r="10" spans="1:6">
      <c r="A10">
        <v>9</v>
      </c>
    </row>
    <row r="11" spans="1:6">
      <c r="A11">
        <v>10</v>
      </c>
    </row>
    <row r="12" spans="1:6">
      <c r="A12">
        <v>11</v>
      </c>
    </row>
    <row r="13" spans="1:6">
      <c r="A13">
        <v>12</v>
      </c>
    </row>
    <row r="14" spans="1:6">
      <c r="A14">
        <v>13</v>
      </c>
    </row>
    <row r="15" spans="1:6">
      <c r="A15">
        <v>14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heetPr>
  <dimension ref="A1:I68"/>
  <sheetViews>
    <sheetView view="pageBreakPreview" zoomScale="70" zoomScaleNormal="100" zoomScaleSheetLayoutView="70" workbookViewId="0">
      <selection activeCell="C4" sqref="C4:I4"/>
    </sheetView>
  </sheetViews>
  <sheetFormatPr defaultColWidth="9.140625" defaultRowHeight="15"/>
  <cols>
    <col min="1" max="1" width="6.7109375" style="5" customWidth="1"/>
    <col min="2" max="2" width="63.28515625" style="18" customWidth="1"/>
    <col min="3" max="3" width="30.7109375" style="18" customWidth="1"/>
    <col min="4" max="4" width="30.7109375" style="26" customWidth="1"/>
    <col min="5" max="6" width="12.7109375" style="19" customWidth="1"/>
    <col min="7" max="8" width="15.7109375" style="5" customWidth="1"/>
    <col min="9" max="9" width="35.7109375" style="5" customWidth="1"/>
    <col min="10" max="16384" width="9.140625" style="5"/>
  </cols>
  <sheetData>
    <row r="1" spans="1:9" ht="25.15" customHeight="1">
      <c r="A1" s="229" t="s">
        <v>17</v>
      </c>
      <c r="B1" s="230"/>
      <c r="C1" s="96" t="s">
        <v>10</v>
      </c>
      <c r="D1" s="97"/>
      <c r="E1" s="98"/>
      <c r="F1" s="98"/>
      <c r="G1" s="99"/>
      <c r="H1" s="99"/>
      <c r="I1" s="100"/>
    </row>
    <row r="2" spans="1:9" ht="25.15" customHeight="1">
      <c r="A2" s="231"/>
      <c r="B2" s="232"/>
      <c r="C2" s="101" t="s">
        <v>40</v>
      </c>
      <c r="D2" s="102"/>
      <c r="E2" s="103"/>
      <c r="F2" s="103"/>
      <c r="G2" s="104"/>
      <c r="H2" s="104"/>
      <c r="I2" s="105"/>
    </row>
    <row r="3" spans="1:9" ht="25.15" customHeight="1">
      <c r="A3" s="231"/>
      <c r="B3" s="232"/>
      <c r="C3" s="79" t="s">
        <v>73</v>
      </c>
      <c r="D3" s="102"/>
      <c r="E3" s="103"/>
      <c r="F3" s="103"/>
      <c r="G3" s="104"/>
      <c r="H3" s="104"/>
      <c r="I3" s="105"/>
    </row>
    <row r="4" spans="1:9" ht="30" customHeight="1">
      <c r="A4" s="233"/>
      <c r="B4" s="234"/>
      <c r="C4" s="202" t="s">
        <v>74</v>
      </c>
      <c r="D4" s="203"/>
      <c r="E4" s="203"/>
      <c r="F4" s="203"/>
      <c r="G4" s="203"/>
      <c r="H4" s="203"/>
      <c r="I4" s="204"/>
    </row>
    <row r="5" spans="1:9" s="6" customFormat="1" ht="79.900000000000006" customHeight="1">
      <c r="A5" s="22" t="s">
        <v>0</v>
      </c>
      <c r="B5" s="22" t="s">
        <v>1</v>
      </c>
      <c r="C5" s="22" t="s">
        <v>78</v>
      </c>
      <c r="D5" s="23" t="s">
        <v>77</v>
      </c>
      <c r="E5" s="23" t="s">
        <v>75</v>
      </c>
      <c r="F5" s="22" t="s">
        <v>76</v>
      </c>
      <c r="G5" s="22" t="s">
        <v>81</v>
      </c>
      <c r="H5" s="22" t="s">
        <v>80</v>
      </c>
      <c r="I5" s="22" t="s">
        <v>79</v>
      </c>
    </row>
    <row r="6" spans="1:9" s="1" customFormat="1" ht="40.15" customHeight="1">
      <c r="A6" s="84">
        <v>1</v>
      </c>
      <c r="B6" s="50"/>
      <c r="C6" s="13"/>
      <c r="D6" s="61"/>
      <c r="E6" s="113" t="s">
        <v>82</v>
      </c>
      <c r="F6" s="113" t="s">
        <v>82</v>
      </c>
      <c r="G6" s="68"/>
      <c r="H6" s="68"/>
      <c r="I6" s="63"/>
    </row>
    <row r="7" spans="1:9" s="1" customFormat="1" ht="40.15" customHeight="1">
      <c r="A7" s="84">
        <f>A6+1</f>
        <v>2</v>
      </c>
      <c r="B7" s="14"/>
      <c r="C7" s="15"/>
      <c r="D7" s="11"/>
      <c r="E7" s="113" t="s">
        <v>82</v>
      </c>
      <c r="F7" s="113" t="s">
        <v>82</v>
      </c>
      <c r="G7" s="68"/>
      <c r="H7" s="68"/>
      <c r="I7" s="47"/>
    </row>
    <row r="8" spans="1:9" s="1" customFormat="1" ht="40.15" customHeight="1">
      <c r="A8" s="84">
        <f t="shared" ref="A8:A46" si="0">A7+1</f>
        <v>3</v>
      </c>
      <c r="B8" s="14"/>
      <c r="C8" s="15"/>
      <c r="D8" s="11"/>
      <c r="E8" s="113" t="s">
        <v>82</v>
      </c>
      <c r="F8" s="113" t="s">
        <v>82</v>
      </c>
      <c r="G8" s="68"/>
      <c r="H8" s="68"/>
      <c r="I8" s="15"/>
    </row>
    <row r="9" spans="1:9" s="1" customFormat="1" ht="40.15" customHeight="1">
      <c r="A9" s="84">
        <f t="shared" si="0"/>
        <v>4</v>
      </c>
      <c r="B9" s="14"/>
      <c r="C9" s="15"/>
      <c r="D9" s="11"/>
      <c r="E9" s="113" t="s">
        <v>82</v>
      </c>
      <c r="F9" s="113" t="s">
        <v>82</v>
      </c>
      <c r="G9" s="68"/>
      <c r="H9" s="68"/>
      <c r="I9" s="47"/>
    </row>
    <row r="10" spans="1:9" s="1" customFormat="1" ht="40.15" customHeight="1">
      <c r="A10" s="84">
        <f t="shared" si="0"/>
        <v>5</v>
      </c>
      <c r="B10" s="14"/>
      <c r="C10" s="15"/>
      <c r="D10" s="11"/>
      <c r="E10" s="113" t="s">
        <v>82</v>
      </c>
      <c r="F10" s="113" t="s">
        <v>82</v>
      </c>
      <c r="G10" s="68"/>
      <c r="H10" s="68"/>
      <c r="I10" s="47"/>
    </row>
    <row r="11" spans="1:9" s="1" customFormat="1" ht="40.15" customHeight="1">
      <c r="A11" s="84">
        <f t="shared" si="0"/>
        <v>6</v>
      </c>
      <c r="B11" s="14"/>
      <c r="C11" s="15"/>
      <c r="D11" s="11"/>
      <c r="E11" s="113" t="s">
        <v>82</v>
      </c>
      <c r="F11" s="113" t="s">
        <v>82</v>
      </c>
      <c r="G11" s="68"/>
      <c r="H11" s="68"/>
      <c r="I11" s="47"/>
    </row>
    <row r="12" spans="1:9" s="1" customFormat="1" ht="40.15" customHeight="1">
      <c r="A12" s="84">
        <f t="shared" si="0"/>
        <v>7</v>
      </c>
      <c r="B12" s="14"/>
      <c r="C12" s="15"/>
      <c r="D12" s="11"/>
      <c r="E12" s="113" t="s">
        <v>82</v>
      </c>
      <c r="F12" s="113" t="s">
        <v>82</v>
      </c>
      <c r="G12" s="68"/>
      <c r="H12" s="68"/>
      <c r="I12" s="47"/>
    </row>
    <row r="13" spans="1:9" s="1" customFormat="1" ht="40.15" customHeight="1">
      <c r="A13" s="84">
        <f t="shared" si="0"/>
        <v>8</v>
      </c>
      <c r="B13" s="14"/>
      <c r="C13" s="15"/>
      <c r="D13" s="11"/>
      <c r="E13" s="113" t="s">
        <v>82</v>
      </c>
      <c r="F13" s="113" t="s">
        <v>82</v>
      </c>
      <c r="G13" s="68"/>
      <c r="H13" s="68"/>
      <c r="I13" s="15"/>
    </row>
    <row r="14" spans="1:9" s="1" customFormat="1" ht="40.15" customHeight="1">
      <c r="A14" s="84">
        <f t="shared" si="0"/>
        <v>9</v>
      </c>
      <c r="B14" s="14"/>
      <c r="C14" s="15"/>
      <c r="D14" s="11"/>
      <c r="E14" s="113" t="s">
        <v>82</v>
      </c>
      <c r="F14" s="113" t="s">
        <v>82</v>
      </c>
      <c r="G14" s="68"/>
      <c r="H14" s="68"/>
      <c r="I14" s="47"/>
    </row>
    <row r="15" spans="1:9" s="1" customFormat="1" ht="40.15" customHeight="1">
      <c r="A15" s="84">
        <f t="shared" si="0"/>
        <v>10</v>
      </c>
      <c r="B15" s="14"/>
      <c r="C15" s="15"/>
      <c r="D15" s="11"/>
      <c r="E15" s="113" t="s">
        <v>82</v>
      </c>
      <c r="F15" s="113" t="s">
        <v>82</v>
      </c>
      <c r="G15" s="68"/>
      <c r="H15" s="68"/>
      <c r="I15" s="47"/>
    </row>
    <row r="16" spans="1:9" s="1" customFormat="1" ht="40.15" customHeight="1">
      <c r="A16" s="84">
        <f t="shared" si="0"/>
        <v>11</v>
      </c>
      <c r="B16" s="14"/>
      <c r="C16" s="15"/>
      <c r="D16" s="11"/>
      <c r="E16" s="113" t="s">
        <v>82</v>
      </c>
      <c r="F16" s="113" t="s">
        <v>82</v>
      </c>
      <c r="G16" s="68"/>
      <c r="H16" s="68"/>
      <c r="I16" s="47"/>
    </row>
    <row r="17" spans="1:9" s="1" customFormat="1" ht="40.15" customHeight="1">
      <c r="A17" s="84">
        <f t="shared" si="0"/>
        <v>12</v>
      </c>
      <c r="B17" s="14"/>
      <c r="C17" s="15"/>
      <c r="D17" s="11"/>
      <c r="E17" s="113" t="s">
        <v>82</v>
      </c>
      <c r="F17" s="113" t="s">
        <v>82</v>
      </c>
      <c r="G17" s="68"/>
      <c r="H17" s="68"/>
      <c r="I17" s="15"/>
    </row>
    <row r="18" spans="1:9" s="1" customFormat="1" ht="40.15" customHeight="1">
      <c r="A18" s="84">
        <f t="shared" si="0"/>
        <v>13</v>
      </c>
      <c r="B18" s="14"/>
      <c r="C18" s="15"/>
      <c r="D18" s="11"/>
      <c r="E18" s="113" t="s">
        <v>82</v>
      </c>
      <c r="F18" s="113" t="s">
        <v>82</v>
      </c>
      <c r="G18" s="68"/>
      <c r="H18" s="68"/>
      <c r="I18" s="47"/>
    </row>
    <row r="19" spans="1:9" s="1" customFormat="1" ht="40.15" customHeight="1">
      <c r="A19" s="84">
        <f t="shared" si="0"/>
        <v>14</v>
      </c>
      <c r="B19" s="14"/>
      <c r="C19" s="15"/>
      <c r="D19" s="11"/>
      <c r="E19" s="113" t="s">
        <v>82</v>
      </c>
      <c r="F19" s="113" t="s">
        <v>82</v>
      </c>
      <c r="G19" s="68"/>
      <c r="H19" s="68"/>
      <c r="I19" s="47"/>
    </row>
    <row r="20" spans="1:9" s="1" customFormat="1" ht="40.15" customHeight="1">
      <c r="A20" s="84">
        <f t="shared" si="0"/>
        <v>15</v>
      </c>
      <c r="B20" s="14"/>
      <c r="C20" s="15"/>
      <c r="D20" s="11"/>
      <c r="E20" s="113" t="s">
        <v>82</v>
      </c>
      <c r="F20" s="113" t="s">
        <v>82</v>
      </c>
      <c r="G20" s="68"/>
      <c r="H20" s="68"/>
      <c r="I20" s="47"/>
    </row>
    <row r="21" spans="1:9" s="1" customFormat="1" ht="40.15" customHeight="1">
      <c r="A21" s="84">
        <f t="shared" si="0"/>
        <v>16</v>
      </c>
      <c r="B21" s="14"/>
      <c r="C21" s="15"/>
      <c r="D21" s="11"/>
      <c r="E21" s="113" t="s">
        <v>82</v>
      </c>
      <c r="F21" s="113" t="s">
        <v>82</v>
      </c>
      <c r="G21" s="68"/>
      <c r="H21" s="68"/>
      <c r="I21" s="47"/>
    </row>
    <row r="22" spans="1:9" s="1" customFormat="1" ht="40.15" customHeight="1">
      <c r="A22" s="84">
        <f t="shared" si="0"/>
        <v>17</v>
      </c>
      <c r="B22" s="14"/>
      <c r="C22" s="15"/>
      <c r="D22" s="11"/>
      <c r="E22" s="113" t="s">
        <v>82</v>
      </c>
      <c r="F22" s="113" t="s">
        <v>82</v>
      </c>
      <c r="G22" s="68"/>
      <c r="H22" s="68"/>
      <c r="I22" s="15"/>
    </row>
    <row r="23" spans="1:9" s="1" customFormat="1" ht="40.15" customHeight="1">
      <c r="A23" s="84">
        <f t="shared" si="0"/>
        <v>18</v>
      </c>
      <c r="B23" s="14"/>
      <c r="C23" s="15"/>
      <c r="D23" s="11"/>
      <c r="E23" s="113" t="s">
        <v>82</v>
      </c>
      <c r="F23" s="113" t="s">
        <v>82</v>
      </c>
      <c r="G23" s="68"/>
      <c r="H23" s="68"/>
      <c r="I23" s="47"/>
    </row>
    <row r="24" spans="1:9" s="1" customFormat="1" ht="40.15" customHeight="1">
      <c r="A24" s="84">
        <f t="shared" si="0"/>
        <v>19</v>
      </c>
      <c r="B24" s="14"/>
      <c r="C24" s="15"/>
      <c r="D24" s="11"/>
      <c r="E24" s="113" t="s">
        <v>82</v>
      </c>
      <c r="F24" s="113" t="s">
        <v>82</v>
      </c>
      <c r="G24" s="68"/>
      <c r="H24" s="68"/>
      <c r="I24" s="47"/>
    </row>
    <row r="25" spans="1:9" s="1" customFormat="1" ht="40.15" customHeight="1">
      <c r="A25" s="84">
        <f t="shared" si="0"/>
        <v>20</v>
      </c>
      <c r="B25" s="14"/>
      <c r="C25" s="15"/>
      <c r="D25" s="11"/>
      <c r="E25" s="113" t="s">
        <v>82</v>
      </c>
      <c r="F25" s="113" t="s">
        <v>82</v>
      </c>
      <c r="G25" s="68"/>
      <c r="H25" s="68"/>
      <c r="I25" s="47"/>
    </row>
    <row r="26" spans="1:9" s="1" customFormat="1" ht="40.15" customHeight="1">
      <c r="A26" s="84">
        <f t="shared" si="0"/>
        <v>21</v>
      </c>
      <c r="B26" s="14"/>
      <c r="C26" s="15"/>
      <c r="D26" s="11"/>
      <c r="E26" s="113" t="s">
        <v>82</v>
      </c>
      <c r="F26" s="113" t="s">
        <v>82</v>
      </c>
      <c r="G26" s="68"/>
      <c r="H26" s="68"/>
      <c r="I26" s="47"/>
    </row>
    <row r="27" spans="1:9" s="1" customFormat="1" ht="40.15" customHeight="1">
      <c r="A27" s="84">
        <f t="shared" si="0"/>
        <v>22</v>
      </c>
      <c r="B27" s="14"/>
      <c r="C27" s="15"/>
      <c r="D27" s="11"/>
      <c r="E27" s="113" t="s">
        <v>82</v>
      </c>
      <c r="F27" s="113" t="s">
        <v>82</v>
      </c>
      <c r="G27" s="68"/>
      <c r="H27" s="68"/>
      <c r="I27" s="47"/>
    </row>
    <row r="28" spans="1:9" s="1" customFormat="1" ht="40.15" customHeight="1">
      <c r="A28" s="84">
        <f t="shared" si="0"/>
        <v>23</v>
      </c>
      <c r="B28" s="14"/>
      <c r="C28" s="15"/>
      <c r="D28" s="11"/>
      <c r="E28" s="113" t="s">
        <v>82</v>
      </c>
      <c r="F28" s="113" t="s">
        <v>82</v>
      </c>
      <c r="G28" s="68"/>
      <c r="H28" s="68"/>
      <c r="I28" s="47"/>
    </row>
    <row r="29" spans="1:9" s="1" customFormat="1" ht="40.15" customHeight="1">
      <c r="A29" s="84">
        <f t="shared" si="0"/>
        <v>24</v>
      </c>
      <c r="B29" s="14"/>
      <c r="C29" s="15"/>
      <c r="D29" s="11"/>
      <c r="E29" s="113" t="s">
        <v>82</v>
      </c>
      <c r="F29" s="113" t="s">
        <v>82</v>
      </c>
      <c r="G29" s="68"/>
      <c r="H29" s="68"/>
      <c r="I29" s="47"/>
    </row>
    <row r="30" spans="1:9" s="1" customFormat="1" ht="40.15" customHeight="1">
      <c r="A30" s="84">
        <f t="shared" si="0"/>
        <v>25</v>
      </c>
      <c r="B30" s="14"/>
      <c r="C30" s="15"/>
      <c r="D30" s="11"/>
      <c r="E30" s="113" t="s">
        <v>82</v>
      </c>
      <c r="F30" s="113" t="s">
        <v>82</v>
      </c>
      <c r="G30" s="68"/>
      <c r="H30" s="68"/>
      <c r="I30" s="15"/>
    </row>
    <row r="31" spans="1:9" s="1" customFormat="1" ht="40.15" customHeight="1">
      <c r="A31" s="84">
        <f t="shared" si="0"/>
        <v>26</v>
      </c>
      <c r="B31" s="14"/>
      <c r="C31" s="15"/>
      <c r="D31" s="11"/>
      <c r="E31" s="113" t="s">
        <v>82</v>
      </c>
      <c r="F31" s="113" t="s">
        <v>82</v>
      </c>
      <c r="G31" s="68"/>
      <c r="H31" s="68"/>
      <c r="I31" s="47"/>
    </row>
    <row r="32" spans="1:9" s="1" customFormat="1" ht="40.15" customHeight="1">
      <c r="A32" s="84">
        <f t="shared" si="0"/>
        <v>27</v>
      </c>
      <c r="B32" s="14"/>
      <c r="C32" s="15"/>
      <c r="D32" s="11"/>
      <c r="E32" s="113" t="s">
        <v>82</v>
      </c>
      <c r="F32" s="113" t="s">
        <v>82</v>
      </c>
      <c r="G32" s="68"/>
      <c r="H32" s="68"/>
      <c r="I32" s="47"/>
    </row>
    <row r="33" spans="1:9" s="1" customFormat="1" ht="40.15" customHeight="1">
      <c r="A33" s="84">
        <f t="shared" si="0"/>
        <v>28</v>
      </c>
      <c r="B33" s="14"/>
      <c r="C33" s="15"/>
      <c r="D33" s="11"/>
      <c r="E33" s="113" t="s">
        <v>82</v>
      </c>
      <c r="F33" s="113" t="s">
        <v>82</v>
      </c>
      <c r="G33" s="68"/>
      <c r="H33" s="68"/>
      <c r="I33" s="47"/>
    </row>
    <row r="34" spans="1:9" s="1" customFormat="1" ht="40.15" customHeight="1">
      <c r="A34" s="84">
        <f t="shared" si="0"/>
        <v>29</v>
      </c>
      <c r="B34" s="14"/>
      <c r="C34" s="15"/>
      <c r="D34" s="11"/>
      <c r="E34" s="113" t="s">
        <v>82</v>
      </c>
      <c r="F34" s="113" t="s">
        <v>82</v>
      </c>
      <c r="G34" s="68"/>
      <c r="H34" s="68"/>
      <c r="I34" s="15"/>
    </row>
    <row r="35" spans="1:9" s="1" customFormat="1" ht="40.15" customHeight="1">
      <c r="A35" s="84">
        <f t="shared" si="0"/>
        <v>30</v>
      </c>
      <c r="B35" s="14"/>
      <c r="C35" s="15"/>
      <c r="D35" s="11"/>
      <c r="E35" s="113" t="s">
        <v>82</v>
      </c>
      <c r="F35" s="113" t="s">
        <v>82</v>
      </c>
      <c r="G35" s="68"/>
      <c r="H35" s="68"/>
      <c r="I35" s="47"/>
    </row>
    <row r="36" spans="1:9" s="1" customFormat="1" ht="40.15" customHeight="1">
      <c r="A36" s="84">
        <f t="shared" si="0"/>
        <v>31</v>
      </c>
      <c r="B36" s="14"/>
      <c r="C36" s="15"/>
      <c r="D36" s="11"/>
      <c r="E36" s="113" t="s">
        <v>82</v>
      </c>
      <c r="F36" s="113" t="s">
        <v>82</v>
      </c>
      <c r="G36" s="68"/>
      <c r="H36" s="68"/>
      <c r="I36" s="47"/>
    </row>
    <row r="37" spans="1:9" s="1" customFormat="1" ht="40.15" customHeight="1">
      <c r="A37" s="84">
        <f t="shared" si="0"/>
        <v>32</v>
      </c>
      <c r="B37" s="14"/>
      <c r="C37" s="15"/>
      <c r="D37" s="11"/>
      <c r="E37" s="113" t="s">
        <v>82</v>
      </c>
      <c r="F37" s="113" t="s">
        <v>82</v>
      </c>
      <c r="G37" s="68"/>
      <c r="H37" s="68"/>
      <c r="I37" s="47"/>
    </row>
    <row r="38" spans="1:9" s="1" customFormat="1" ht="40.15" customHeight="1">
      <c r="A38" s="84">
        <f t="shared" si="0"/>
        <v>33</v>
      </c>
      <c r="B38" s="14"/>
      <c r="C38" s="15"/>
      <c r="D38" s="11"/>
      <c r="E38" s="113" t="s">
        <v>82</v>
      </c>
      <c r="F38" s="113" t="s">
        <v>82</v>
      </c>
      <c r="G38" s="68"/>
      <c r="H38" s="68"/>
      <c r="I38" s="47"/>
    </row>
    <row r="39" spans="1:9" s="1" customFormat="1" ht="40.15" customHeight="1">
      <c r="A39" s="84">
        <f t="shared" si="0"/>
        <v>34</v>
      </c>
      <c r="B39" s="14"/>
      <c r="C39" s="15"/>
      <c r="D39" s="11"/>
      <c r="E39" s="113" t="s">
        <v>82</v>
      </c>
      <c r="F39" s="113" t="s">
        <v>82</v>
      </c>
      <c r="G39" s="68"/>
      <c r="H39" s="68"/>
      <c r="I39" s="15"/>
    </row>
    <row r="40" spans="1:9" s="1" customFormat="1" ht="40.15" customHeight="1">
      <c r="A40" s="84">
        <f t="shared" si="0"/>
        <v>35</v>
      </c>
      <c r="B40" s="14"/>
      <c r="C40" s="15"/>
      <c r="D40" s="11"/>
      <c r="E40" s="113" t="s">
        <v>82</v>
      </c>
      <c r="F40" s="113" t="s">
        <v>82</v>
      </c>
      <c r="G40" s="68"/>
      <c r="H40" s="68"/>
      <c r="I40" s="47"/>
    </row>
    <row r="41" spans="1:9" s="1" customFormat="1" ht="40.15" customHeight="1">
      <c r="A41" s="84">
        <f t="shared" si="0"/>
        <v>36</v>
      </c>
      <c r="B41" s="14"/>
      <c r="C41" s="15"/>
      <c r="D41" s="11"/>
      <c r="E41" s="113" t="s">
        <v>82</v>
      </c>
      <c r="F41" s="113" t="s">
        <v>82</v>
      </c>
      <c r="G41" s="68"/>
      <c r="H41" s="68"/>
      <c r="I41" s="47"/>
    </row>
    <row r="42" spans="1:9" s="1" customFormat="1" ht="40.15" customHeight="1">
      <c r="A42" s="84">
        <f t="shared" si="0"/>
        <v>37</v>
      </c>
      <c r="B42" s="14"/>
      <c r="C42" s="15"/>
      <c r="D42" s="11"/>
      <c r="E42" s="113" t="s">
        <v>82</v>
      </c>
      <c r="F42" s="113" t="s">
        <v>82</v>
      </c>
      <c r="G42" s="68"/>
      <c r="H42" s="68"/>
      <c r="I42" s="47"/>
    </row>
    <row r="43" spans="1:9" s="1" customFormat="1" ht="40.15" customHeight="1">
      <c r="A43" s="84">
        <f t="shared" si="0"/>
        <v>38</v>
      </c>
      <c r="B43" s="14"/>
      <c r="C43" s="15"/>
      <c r="D43" s="11"/>
      <c r="E43" s="113" t="s">
        <v>82</v>
      </c>
      <c r="F43" s="113" t="s">
        <v>82</v>
      </c>
      <c r="G43" s="68"/>
      <c r="H43" s="68"/>
      <c r="I43" s="47"/>
    </row>
    <row r="44" spans="1:9" s="1" customFormat="1" ht="40.15" customHeight="1">
      <c r="A44" s="84">
        <f t="shared" si="0"/>
        <v>39</v>
      </c>
      <c r="B44" s="14"/>
      <c r="C44" s="15"/>
      <c r="D44" s="11"/>
      <c r="E44" s="113" t="s">
        <v>82</v>
      </c>
      <c r="F44" s="113" t="s">
        <v>82</v>
      </c>
      <c r="G44" s="68"/>
      <c r="H44" s="68"/>
      <c r="I44" s="47"/>
    </row>
    <row r="45" spans="1:9" s="1" customFormat="1" ht="40.15" customHeight="1">
      <c r="A45" s="84">
        <f t="shared" si="0"/>
        <v>40</v>
      </c>
      <c r="B45" s="14"/>
      <c r="C45" s="15"/>
      <c r="D45" s="11"/>
      <c r="E45" s="113" t="s">
        <v>82</v>
      </c>
      <c r="F45" s="113" t="s">
        <v>82</v>
      </c>
      <c r="G45" s="68"/>
      <c r="H45" s="68"/>
      <c r="I45" s="47"/>
    </row>
    <row r="46" spans="1:9" s="1" customFormat="1" ht="40.15" customHeight="1">
      <c r="A46" s="84">
        <f t="shared" si="0"/>
        <v>41</v>
      </c>
      <c r="B46" s="14"/>
      <c r="C46" s="15"/>
      <c r="D46" s="11"/>
      <c r="E46" s="113" t="s">
        <v>82</v>
      </c>
      <c r="F46" s="113" t="s">
        <v>82</v>
      </c>
      <c r="G46" s="68"/>
      <c r="H46" s="68"/>
      <c r="I46" s="15"/>
    </row>
    <row r="47" spans="1:9" s="1" customFormat="1" ht="30" hidden="1" customHeight="1">
      <c r="A47" s="106" t="s">
        <v>5</v>
      </c>
      <c r="B47" s="107" t="s">
        <v>11</v>
      </c>
      <c r="C47" s="108"/>
      <c r="D47" s="109"/>
      <c r="E47" s="110">
        <f>MIN(E48:E50)</f>
        <v>0</v>
      </c>
      <c r="F47" s="110">
        <f>MAX(F48:F50)</f>
        <v>0</v>
      </c>
      <c r="G47" s="111">
        <f>SUM(G48:G50)</f>
        <v>0</v>
      </c>
      <c r="H47" s="111">
        <f>SUM(H48:H50)</f>
        <v>0</v>
      </c>
      <c r="I47" s="112"/>
    </row>
    <row r="48" spans="1:9" s="1" customFormat="1" hidden="1">
      <c r="A48" s="38">
        <v>1</v>
      </c>
      <c r="B48" s="44"/>
      <c r="C48" s="45"/>
      <c r="D48" s="41"/>
      <c r="E48" s="42"/>
      <c r="F48" s="42"/>
      <c r="G48" s="43"/>
      <c r="H48" s="43"/>
      <c r="I48" s="46"/>
    </row>
    <row r="49" spans="1:9" s="1" customFormat="1" hidden="1">
      <c r="A49" s="10">
        <f>A48+1</f>
        <v>2</v>
      </c>
      <c r="B49" s="3"/>
      <c r="C49" s="4"/>
      <c r="D49" s="11"/>
      <c r="E49" s="12"/>
      <c r="F49" s="12"/>
      <c r="G49" s="13"/>
      <c r="H49" s="13"/>
      <c r="I49" s="48"/>
    </row>
    <row r="50" spans="1:9" s="1" customFormat="1" hidden="1">
      <c r="A50" s="10">
        <f t="shared" ref="A50:A62" si="1">A49+1</f>
        <v>3</v>
      </c>
      <c r="B50" s="14"/>
      <c r="C50" s="15"/>
      <c r="D50" s="11"/>
      <c r="E50" s="12"/>
      <c r="F50" s="12"/>
      <c r="G50" s="13"/>
      <c r="H50" s="13"/>
      <c r="I50" s="48"/>
    </row>
    <row r="51" spans="1:9" s="1" customFormat="1" ht="30" hidden="1" customHeight="1">
      <c r="A51" s="106" t="s">
        <v>6</v>
      </c>
      <c r="B51" s="107" t="s">
        <v>12</v>
      </c>
      <c r="C51" s="108"/>
      <c r="D51" s="109"/>
      <c r="E51" s="110">
        <f>MIN(E52:E54)</f>
        <v>0</v>
      </c>
      <c r="F51" s="110">
        <f>MAX(F52:F54)</f>
        <v>0</v>
      </c>
      <c r="G51" s="111">
        <f>SUM(G52:G54)</f>
        <v>0</v>
      </c>
      <c r="H51" s="111">
        <f>SUM(H52:H54)</f>
        <v>0</v>
      </c>
      <c r="I51" s="112"/>
    </row>
    <row r="52" spans="1:9" s="1" customFormat="1" hidden="1">
      <c r="A52" s="38">
        <v>1</v>
      </c>
      <c r="B52" s="39"/>
      <c r="C52" s="45"/>
      <c r="D52" s="41"/>
      <c r="E52" s="42"/>
      <c r="F52" s="42"/>
      <c r="G52" s="43"/>
      <c r="H52" s="43"/>
      <c r="I52" s="46"/>
    </row>
    <row r="53" spans="1:9" s="1" customFormat="1" hidden="1">
      <c r="A53" s="10">
        <f t="shared" si="1"/>
        <v>2</v>
      </c>
      <c r="B53" s="3"/>
      <c r="C53" s="4"/>
      <c r="D53" s="11"/>
      <c r="E53" s="12"/>
      <c r="F53" s="12"/>
      <c r="G53" s="13"/>
      <c r="H53" s="13"/>
      <c r="I53" s="48"/>
    </row>
    <row r="54" spans="1:9" s="1" customFormat="1" hidden="1">
      <c r="A54" s="10">
        <f t="shared" si="1"/>
        <v>3</v>
      </c>
      <c r="B54" s="14"/>
      <c r="C54" s="15"/>
      <c r="D54" s="11"/>
      <c r="E54" s="12"/>
      <c r="F54" s="12"/>
      <c r="G54" s="13"/>
      <c r="H54" s="13"/>
      <c r="I54" s="48"/>
    </row>
    <row r="55" spans="1:9" s="1" customFormat="1" ht="30" hidden="1" customHeight="1">
      <c r="A55" s="106" t="s">
        <v>7</v>
      </c>
      <c r="B55" s="107" t="s">
        <v>13</v>
      </c>
      <c r="C55" s="108"/>
      <c r="D55" s="109"/>
      <c r="E55" s="110">
        <f>MIN(E56:E58)</f>
        <v>0</v>
      </c>
      <c r="F55" s="110">
        <f>MAX(F56:F58)</f>
        <v>0</v>
      </c>
      <c r="G55" s="111">
        <f>SUM(G56:G58)</f>
        <v>0</v>
      </c>
      <c r="H55" s="111">
        <f>SUM(H56:H58)</f>
        <v>0</v>
      </c>
      <c r="I55" s="112"/>
    </row>
    <row r="56" spans="1:9" s="1" customFormat="1" hidden="1">
      <c r="A56" s="38">
        <v>1</v>
      </c>
      <c r="B56" s="39"/>
      <c r="C56" s="45"/>
      <c r="D56" s="41"/>
      <c r="E56" s="42"/>
      <c r="F56" s="42"/>
      <c r="G56" s="43"/>
      <c r="H56" s="43"/>
      <c r="I56" s="46"/>
    </row>
    <row r="57" spans="1:9" s="1" customFormat="1" hidden="1">
      <c r="A57" s="10">
        <f>A56+1</f>
        <v>2</v>
      </c>
      <c r="B57" s="2"/>
      <c r="C57" s="4"/>
      <c r="D57" s="11"/>
      <c r="E57" s="12"/>
      <c r="F57" s="12"/>
      <c r="G57" s="13"/>
      <c r="H57" s="13"/>
      <c r="I57" s="48"/>
    </row>
    <row r="58" spans="1:9" s="1" customFormat="1" hidden="1">
      <c r="A58" s="10">
        <f t="shared" ref="A58" si="2">A57+1</f>
        <v>3</v>
      </c>
      <c r="B58" s="2"/>
      <c r="C58" s="4"/>
      <c r="D58" s="11"/>
      <c r="E58" s="12"/>
      <c r="F58" s="12"/>
      <c r="G58" s="13"/>
      <c r="H58" s="13"/>
      <c r="I58" s="48"/>
    </row>
    <row r="59" spans="1:9" s="1" customFormat="1" ht="30" hidden="1" customHeight="1">
      <c r="A59" s="106" t="s">
        <v>8</v>
      </c>
      <c r="B59" s="107" t="s">
        <v>14</v>
      </c>
      <c r="C59" s="108"/>
      <c r="D59" s="109"/>
      <c r="E59" s="110">
        <f>MIN(E60:E62)</f>
        <v>0</v>
      </c>
      <c r="F59" s="110">
        <f>MAX(F60:F62)</f>
        <v>0</v>
      </c>
      <c r="G59" s="111">
        <f>SUM(G60:G62)</f>
        <v>0</v>
      </c>
      <c r="H59" s="111">
        <f>SUM(H60:H62)</f>
        <v>0</v>
      </c>
      <c r="I59" s="112"/>
    </row>
    <row r="60" spans="1:9" s="1" customFormat="1" hidden="1">
      <c r="A60" s="38">
        <v>1</v>
      </c>
      <c r="B60" s="39"/>
      <c r="C60" s="40"/>
      <c r="D60" s="41"/>
      <c r="E60" s="42"/>
      <c r="F60" s="42"/>
      <c r="G60" s="43"/>
      <c r="H60" s="43"/>
      <c r="I60" s="46"/>
    </row>
    <row r="61" spans="1:9" s="1" customFormat="1" hidden="1">
      <c r="A61" s="10">
        <f>A60+1</f>
        <v>2</v>
      </c>
      <c r="B61" s="3"/>
      <c r="C61" s="4"/>
      <c r="D61" s="11"/>
      <c r="E61" s="12"/>
      <c r="F61" s="12"/>
      <c r="G61" s="13"/>
      <c r="H61" s="13"/>
      <c r="I61" s="48"/>
    </row>
    <row r="62" spans="1:9" s="1" customFormat="1" hidden="1">
      <c r="A62" s="10">
        <f t="shared" si="1"/>
        <v>3</v>
      </c>
      <c r="B62" s="14"/>
      <c r="C62" s="15"/>
      <c r="D62" s="11"/>
      <c r="E62" s="12"/>
      <c r="F62" s="12"/>
      <c r="G62" s="13"/>
      <c r="H62" s="13"/>
      <c r="I62" s="48"/>
    </row>
    <row r="63" spans="1:9" s="1" customFormat="1" ht="30" hidden="1" customHeight="1">
      <c r="A63" s="106" t="s">
        <v>9</v>
      </c>
      <c r="B63" s="107" t="s">
        <v>15</v>
      </c>
      <c r="C63" s="108"/>
      <c r="D63" s="109"/>
      <c r="E63" s="110">
        <f>MIN(E64:E66)</f>
        <v>0</v>
      </c>
      <c r="F63" s="110">
        <f>MAX(F64:F66)</f>
        <v>0</v>
      </c>
      <c r="G63" s="111">
        <f>SUM(G64:G66)</f>
        <v>0</v>
      </c>
      <c r="H63" s="111">
        <f>SUM(H64:H66)</f>
        <v>0</v>
      </c>
      <c r="I63" s="112"/>
    </row>
    <row r="64" spans="1:9" s="1" customFormat="1" hidden="1">
      <c r="A64" s="38">
        <v>1</v>
      </c>
      <c r="B64" s="44"/>
      <c r="C64" s="45"/>
      <c r="D64" s="41"/>
      <c r="E64" s="42"/>
      <c r="F64" s="42"/>
      <c r="G64" s="43"/>
      <c r="H64" s="43"/>
      <c r="I64" s="46"/>
    </row>
    <row r="65" spans="1:9" s="1" customFormat="1" hidden="1">
      <c r="A65" s="10">
        <f>A64+1</f>
        <v>2</v>
      </c>
      <c r="B65" s="3"/>
      <c r="C65" s="4"/>
      <c r="D65" s="11"/>
      <c r="E65" s="12"/>
      <c r="F65" s="12"/>
      <c r="G65" s="13"/>
      <c r="H65" s="13"/>
      <c r="I65" s="48"/>
    </row>
    <row r="66" spans="1:9" s="1" customFormat="1" hidden="1">
      <c r="A66" s="10">
        <f t="shared" ref="A66" si="3">A65+1</f>
        <v>3</v>
      </c>
      <c r="B66" s="3"/>
      <c r="C66" s="4"/>
      <c r="D66" s="11"/>
      <c r="E66" s="12"/>
      <c r="F66" s="12"/>
      <c r="G66" s="13"/>
      <c r="H66" s="13"/>
      <c r="I66" s="48"/>
    </row>
    <row r="67" spans="1:9">
      <c r="D67" s="25"/>
    </row>
    <row r="68" spans="1:9">
      <c r="D68" s="25"/>
    </row>
  </sheetData>
  <mergeCells count="2">
    <mergeCell ref="A1:B4"/>
    <mergeCell ref="C4:I4"/>
  </mergeCells>
  <printOptions horizontalCentered="1"/>
  <pageMargins left="0.39370078740157483" right="0.39370078740157483" top="0.39370078740157483" bottom="0.39370078740157483" header="0.19685039370078741" footer="0.19685039370078741"/>
  <pageSetup paperSize="9" scale="42" orientation="portrait" r:id="rId1"/>
  <headerFooter>
    <oddFooter>Page &amp;P of &amp;N</oddFooter>
  </headerFooter>
  <rowBreaks count="1" manualBreakCount="1">
    <brk id="67" max="7"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C4:D5"/>
  <sheetViews>
    <sheetView workbookViewId="0">
      <selection activeCell="D20" sqref="D20"/>
    </sheetView>
  </sheetViews>
  <sheetFormatPr defaultColWidth="8.85546875" defaultRowHeight="14.25"/>
  <cols>
    <col min="1" max="2" width="8.85546875" style="117"/>
    <col min="3" max="4" width="80.7109375" style="117" customWidth="1"/>
    <col min="5" max="16384" width="8.85546875" style="117"/>
  </cols>
  <sheetData>
    <row r="4" spans="3:4" ht="19.899999999999999" customHeight="1">
      <c r="C4" s="118" t="s">
        <v>136</v>
      </c>
      <c r="D4" s="118" t="s">
        <v>137</v>
      </c>
    </row>
    <row r="5" spans="3:4" ht="186.6" customHeight="1">
      <c r="C5" s="119" t="s">
        <v>154</v>
      </c>
      <c r="D5" s="119" t="s">
        <v>153</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5</vt:i4>
      </vt:variant>
    </vt:vector>
  </HeadingPairs>
  <TitlesOfParts>
    <vt:vector size="15" baseType="lpstr">
      <vt:lpstr>KH TKB3_underground</vt:lpstr>
      <vt:lpstr>KHĐC DẦM SÀN REV 02</vt:lpstr>
      <vt:lpstr>KHĐC DẦM SÀN REV03</vt:lpstr>
      <vt:lpstr>KHĐC DẦM SÀN REV03 (2)</vt:lpstr>
      <vt:lpstr>KH- PT BEAM</vt:lpstr>
      <vt:lpstr>RFI</vt:lpstr>
      <vt:lpstr>BV TKTC</vt:lpstr>
      <vt:lpstr>Sheet2</vt:lpstr>
      <vt:lpstr>BẢN CHUYỂN GIAO</vt:lpstr>
      <vt:lpstr>DÁNH GIÁ PHỐI HỢP SDS</vt:lpstr>
      <vt:lpstr>'KH- PT BEAM'!Print_Area</vt:lpstr>
      <vt:lpstr>'KHĐC DẦM SÀN REV 02'!Print_Area</vt:lpstr>
      <vt:lpstr>'KHĐC DẦM SÀN REV03'!Print_Area</vt:lpstr>
      <vt:lpstr>'KHĐC DẦM SÀN REV03 (2)'!Print_Area</vt:lpstr>
      <vt:lpstr>RFI!Print_Area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cp:lastPrinted>2023-11-13T10:53:35Z</cp:lastPrinted>
  <dcterms:created xsi:type="dcterms:W3CDTF">2015-06-05T18:17:20Z</dcterms:created>
  <dcterms:modified xsi:type="dcterms:W3CDTF">2026-05-26T01:46:31Z</dcterms:modified>
</cp:coreProperties>
</file>